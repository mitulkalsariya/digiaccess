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35d65fe91b0f1136/Shlok 2/"/>
    </mc:Choice>
  </mc:AlternateContent>
  <xr:revisionPtr revIDLastSave="436" documentId="8_{8844CCEF-889D-4E53-B238-2F0DACA59D04}" xr6:coauthVersionLast="47" xr6:coauthVersionMax="47" xr10:uidLastSave="{9ADCA6F5-BB60-40C4-8088-F0CB4E23663B}"/>
  <bookViews>
    <workbookView xWindow="-120" yWindow="-120" windowWidth="29040" windowHeight="16440" xr2:uid="{9C33EF4E-0BF6-448A-AE7C-3D6C72C186CD}"/>
  </bookViews>
  <sheets>
    <sheet name="Header and Footer" sheetId="19" r:id="rId1"/>
    <sheet name="HomePage" sheetId="20" r:id="rId2"/>
    <sheet name="Contact US" sheetId="21" r:id="rId3"/>
    <sheet name="Useful Links" sheetId="22" r:id="rId4"/>
    <sheet name="Download" sheetId="23" r:id="rId5"/>
    <sheet name="Login Page" sheetId="24" r:id="rId6"/>
    <sheet name="Backoffice login page" sheetId="1" r:id="rId7"/>
    <sheet name="Backoffice HomePage" sheetId="10" r:id="rId8"/>
    <sheet name="KYC" sheetId="11" r:id="rId9"/>
    <sheet name="REKYC" sheetId="12" r:id="rId10"/>
    <sheet name="Login Page Android" sheetId="25" r:id="rId11"/>
    <sheet name="HomePage Android" sheetId="26" r:id="rId12"/>
    <sheet name="Market Page Android" sheetId="27" r:id="rId13"/>
    <sheet name="Nifty50 Page Android" sheetId="28" r:id="rId14"/>
    <sheet name="Stocks Info page Android" sheetId="29" r:id="rId15"/>
    <sheet name="Add fund page Android" sheetId="30" r:id="rId16"/>
    <sheet name="Login Page IOS" sheetId="13" r:id="rId17"/>
    <sheet name="HomePage IOS" sheetId="14" r:id="rId18"/>
    <sheet name="Market Page" sheetId="18" r:id="rId19"/>
    <sheet name="Nifty50 Page" sheetId="15" r:id="rId20"/>
    <sheet name="Stocks Info page" sheetId="16" r:id="rId21"/>
    <sheet name="Add fund page" sheetId="17" r:id="rId22"/>
  </sheets>
  <definedNames>
    <definedName name="_xlnm._FilterDatabase" localSheetId="21" hidden="1">'Add fund page'!$A$14:$H$83</definedName>
    <definedName name="_xlnm._FilterDatabase" localSheetId="15" hidden="1">'Add fund page Android'!$A$14:$H$83</definedName>
    <definedName name="_xlnm._FilterDatabase" localSheetId="7" hidden="1">'Backoffice HomePage'!$A$14:$H$83</definedName>
    <definedName name="_xlnm._FilterDatabase" localSheetId="6" hidden="1">'Backoffice login page'!$A$14:$H$83</definedName>
    <definedName name="_xlnm._FilterDatabase" localSheetId="11" hidden="1">'HomePage Android'!$A$14:$H$83</definedName>
    <definedName name="_xlnm._FilterDatabase" localSheetId="17" hidden="1">'HomePage IOS'!$A$14:$H$83</definedName>
    <definedName name="_xlnm._FilterDatabase" localSheetId="8" hidden="1">KYC!$A$14:$H$83</definedName>
    <definedName name="_xlnm._FilterDatabase" localSheetId="10" hidden="1">'Login Page Android'!$A$14:$H$83</definedName>
    <definedName name="_xlnm._FilterDatabase" localSheetId="16" hidden="1">'Login Page IOS'!$A$14:$H$83</definedName>
    <definedName name="_xlnm._FilterDatabase" localSheetId="18" hidden="1">'Market Page'!$A$14:$H$83</definedName>
    <definedName name="_xlnm._FilterDatabase" localSheetId="12" hidden="1">'Market Page Android'!$A$14:$H$83</definedName>
    <definedName name="_xlnm._FilterDatabase" localSheetId="19" hidden="1">'Nifty50 Page'!$A$14:$H$83</definedName>
    <definedName name="_xlnm._FilterDatabase" localSheetId="13" hidden="1">'Nifty50 Page Android'!$A$14:$H$83</definedName>
    <definedName name="_xlnm._FilterDatabase" localSheetId="9" hidden="1">REKYC!$A$14:$H$83</definedName>
    <definedName name="_xlnm._FilterDatabase" localSheetId="20" hidden="1">'Stocks Info page'!$A$14:$H$83</definedName>
    <definedName name="_xlnm._FilterDatabase" localSheetId="14" hidden="1">'Stocks Info page Android'!$A$14:$H$83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30" l="1"/>
  <c r="F10" i="30"/>
  <c r="E10" i="30"/>
  <c r="D10" i="30"/>
  <c r="G10" i="29"/>
  <c r="F10" i="29"/>
  <c r="E10" i="29"/>
  <c r="D10" i="29"/>
  <c r="G10" i="28"/>
  <c r="F10" i="28"/>
  <c r="E10" i="28"/>
  <c r="D10" i="28"/>
  <c r="G10" i="27"/>
  <c r="F10" i="27"/>
  <c r="E10" i="27"/>
  <c r="D10" i="27"/>
  <c r="G10" i="26"/>
  <c r="F10" i="26"/>
  <c r="E10" i="26"/>
  <c r="D10" i="26"/>
  <c r="G10" i="25"/>
  <c r="F10" i="25"/>
  <c r="E10" i="25"/>
  <c r="D10" i="25"/>
  <c r="G10" i="24"/>
  <c r="F10" i="24"/>
  <c r="E10" i="24"/>
  <c r="D10" i="24"/>
  <c r="G10" i="23"/>
  <c r="F10" i="23"/>
  <c r="E10" i="23"/>
  <c r="D10" i="23"/>
  <c r="G10" i="22"/>
  <c r="F10" i="22"/>
  <c r="E10" i="22"/>
  <c r="D10" i="22"/>
  <c r="G10" i="21"/>
  <c r="F10" i="21"/>
  <c r="E10" i="21"/>
  <c r="D10" i="21"/>
  <c r="G10" i="20"/>
  <c r="F10" i="20"/>
  <c r="E10" i="20"/>
  <c r="D10" i="20"/>
  <c r="G10" i="19"/>
  <c r="F10" i="19"/>
  <c r="E10" i="19"/>
  <c r="D10" i="19"/>
  <c r="G10" i="18"/>
  <c r="F10" i="18"/>
  <c r="E10" i="18"/>
  <c r="D10" i="18"/>
  <c r="G10" i="17"/>
  <c r="F10" i="17"/>
  <c r="E10" i="17"/>
  <c r="D10" i="17"/>
  <c r="G10" i="16"/>
  <c r="F10" i="16"/>
  <c r="E10" i="16"/>
  <c r="D10" i="16"/>
  <c r="G10" i="15"/>
  <c r="F10" i="15"/>
  <c r="E10" i="15"/>
  <c r="D10" i="15"/>
  <c r="G10" i="14"/>
  <c r="F10" i="14"/>
  <c r="E10" i="14"/>
  <c r="D10" i="14"/>
  <c r="G10" i="13"/>
  <c r="F10" i="13"/>
  <c r="E10" i="13"/>
  <c r="D10" i="13"/>
  <c r="G10" i="12"/>
  <c r="F10" i="12"/>
  <c r="E10" i="12"/>
  <c r="D10" i="12"/>
  <c r="G10" i="11"/>
  <c r="F10" i="11"/>
  <c r="E10" i="11"/>
  <c r="D10" i="11"/>
  <c r="G10" i="10"/>
  <c r="F10" i="10"/>
  <c r="E10" i="10"/>
  <c r="D10" i="10"/>
  <c r="E10" i="1"/>
  <c r="G10" i="1"/>
  <c r="F10" i="1"/>
  <c r="D10" i="1"/>
</calcChain>
</file>

<file path=xl/sharedStrings.xml><?xml version="1.0" encoding="utf-8"?>
<sst xmlns="http://schemas.openxmlformats.org/spreadsheetml/2006/main" count="6092" uniqueCount="325">
  <si>
    <t>Web Accessibility Test Report (Wcag 2.2)</t>
  </si>
  <si>
    <t>Product/Service Name</t>
  </si>
  <si>
    <t>URL-</t>
  </si>
  <si>
    <t xml:space="preserve">Unite App ID </t>
  </si>
  <si>
    <t>Report date</t>
  </si>
  <si>
    <t>Requester</t>
  </si>
  <si>
    <t>Tester</t>
  </si>
  <si>
    <t>Evaluation methods</t>
  </si>
  <si>
    <t>Target standard level</t>
  </si>
  <si>
    <t>e.g. WCAG 2.x Level X</t>
  </si>
  <si>
    <t xml:space="preserve">Overall Result </t>
  </si>
  <si>
    <t>Notes</t>
  </si>
  <si>
    <t>S No</t>
  </si>
  <si>
    <t>WCAG 2.2 Checkpoint</t>
  </si>
  <si>
    <t>Conformance Level</t>
  </si>
  <si>
    <t>Guideline description</t>
  </si>
  <si>
    <t xml:space="preserve">Result (Pass,Fail,Not applicable) </t>
  </si>
  <si>
    <t xml:space="preserve">Comments for failed tests </t>
  </si>
  <si>
    <t xml:space="preserve">Page element failing the test </t>
  </si>
  <si>
    <t xml:space="preserve">Suggestions for remediation </t>
  </si>
  <si>
    <t>Guideline 1.1 – Text Alternatives</t>
  </si>
  <si>
    <t>1.1.1 - Non-text Content</t>
  </si>
  <si>
    <t>A</t>
  </si>
  <si>
    <t>All non-text content that is presented to the user has a text alternative that serves the equivalent purpose</t>
  </si>
  <si>
    <t>Guideline 1.2 – Time-based Media</t>
  </si>
  <si>
    <t>1.2.1 - Audio-only and Video-only (Prerecorded)</t>
  </si>
  <si>
    <t>An alternative for time-based media is provided that presents equivalent information for prerecorded audio-only content and video-only content.</t>
  </si>
  <si>
    <t>1.2.2 - Captions (Prerecorded)</t>
  </si>
  <si>
    <t>Captions are provided for all prerecorded audio content in synchronized media.</t>
  </si>
  <si>
    <t>1.2.3 - Audio Description or Media Alternative (Prerecorded)</t>
  </si>
  <si>
    <t>An alternative for time-based media or audio description of the prerecorded video content is provided for synchronized media.</t>
  </si>
  <si>
    <t>1.2.4 - Captions (Live)</t>
  </si>
  <si>
    <t>AA</t>
  </si>
  <si>
    <t>Captions are provided for all live audio content in synchronized media.</t>
  </si>
  <si>
    <t>1.2.5 - Audio Description (Prerecorded)</t>
  </si>
  <si>
    <t>Audio description is provided for all prerecorded video content in synchronized media.</t>
  </si>
  <si>
    <t>Guideline 1.3 – Adaptable</t>
  </si>
  <si>
    <t>1.3.1 - Info and Relationships</t>
  </si>
  <si>
    <t>Information, structure, and relationships conveyed through presentation can be programmatically determined or are available in text.</t>
  </si>
  <si>
    <t>1.3.2 - Meaningful Sequence</t>
  </si>
  <si>
    <t>When the sequence in which content is presented affects its meaning, a correct reading sequence can be programmatically determined.</t>
  </si>
  <si>
    <t>pass</t>
  </si>
  <si>
    <t>1.3.3 - Sensory Characteristics</t>
  </si>
  <si>
    <t xml:space="preserve">
Instructions provided for understanding and operating content do not rely solely on sensory characteristics of components such as shape, color, size, visual location, orientation, or sound.</t>
  </si>
  <si>
    <t>1.3.4 - Orientation</t>
  </si>
  <si>
    <t>Content does not restrict its view and operation to a single display orientation, such as portrait or landscape, unless a specific display orientation is essential.</t>
  </si>
  <si>
    <t>1.3.5 - Identify Input Purpose</t>
  </si>
  <si>
    <t>The purpose of each input field collecting information about the user can be programmatically determined.</t>
  </si>
  <si>
    <t>Guideline 1.4 – Distinguishable</t>
  </si>
  <si>
    <t>1.4.1 - Use of Color</t>
  </si>
  <si>
    <t>Color is not used as the only visual means of conveying information, indicating an action, prompting a response, or distinguishing a visual element.</t>
  </si>
  <si>
    <t>1.4.2 - Audio Control</t>
  </si>
  <si>
    <t>If any audio on a Web page plays automatically for more than 3 seconds, either a mechanism is available to pause or stop the audio, or a mechanism is available to control audio volume independently from the overall system volume level.</t>
  </si>
  <si>
    <t>1.4.3 - Contrast (Minimum)</t>
  </si>
  <si>
    <t>The visual presentation of text and images of text has a contrast ratio of at least 4.5:1
 Large-scale text and images of large-scale text have a contrast ratio of at least 3:1;</t>
  </si>
  <si>
    <t>1.4.4 - Resize text</t>
  </si>
  <si>
    <t>Except for captions and images of text, text can be resized without assistive technology up to 200 percent without loss of content or functionality.</t>
  </si>
  <si>
    <t>1.4.5 - Images of Text</t>
  </si>
  <si>
    <t>If the technologies being used can achieve the visual presentation, text is used to convey information rather than images of text</t>
  </si>
  <si>
    <t>1.4.10 - Reflow</t>
  </si>
  <si>
    <t>Content can be presented without loss of information or functionality, and without requiring scrolling in two dimensions</t>
  </si>
  <si>
    <t>1.4.11 - Non-text Contrast</t>
  </si>
  <si>
    <t>The visual presentation of the following have a contrast ratio of at least 3:1 against adjacent color(s</t>
  </si>
  <si>
    <t>1.4.12 - Text Spacing</t>
  </si>
  <si>
    <t>In content implemented using markup languages that support the following text style properties, no loss of content or functionality occurs by setting all of the following and by changing no other style property: 
Line height (line spacing) to at least 1.5 times the font size;
Spacing following paragraphs to at least 2 times the font size;
Letter spacing (tracking) to at least 0.12 times the font size;
Word spacing to at least 0.16 times the font size.</t>
  </si>
  <si>
    <t>1.4.13 - Content on Hover or Focus</t>
  </si>
  <si>
    <t>Where receiving and then removing pointer hover or keyboard focus triggers additional content to become visible and then hidden, the following are true:
Dismissible,Hoverable,Persistent</t>
  </si>
  <si>
    <t>Guideline 2.1 – Keyboard Accessible</t>
  </si>
  <si>
    <t xml:space="preserve">2.1.1 - Keyboard </t>
  </si>
  <si>
    <t>All functionality of the content is operable through a keyboard interface without requiring specific timings for individual keystrokes</t>
  </si>
  <si>
    <t>2.1.2 - No Keyboard Trap</t>
  </si>
  <si>
    <t>If keyboard focus can be moved to a component of the page using a keyboard interface, then focus can be moved away from that component using only a keyboard interface.</t>
  </si>
  <si>
    <t>Guideline 2.2 – Enough Time</t>
  </si>
  <si>
    <t>2.1.4 - Character Key Shortcuts</t>
  </si>
  <si>
    <t>If a keyboard shortcut is implemented in content using only letter (including upper- and lower-case letters), punctuation, number, or symbol characters, then at least one of the following is true: 
Turn off: A mechanism is available to turn the shortcut off;
Remap: A mechanism is available to remap the shortcut to include one or more non-printable keyboard keys (e.g., Ctrl, Alt);
Active only on focus: The keyboard shortcut for a user interface component is only active when that component has focus.</t>
  </si>
  <si>
    <t>2.2.1 - Timing Adjustable</t>
  </si>
  <si>
    <t>For each time limit that is set by the content, at least one of the following is true: 
Turn off: The user is allowed to turn off the time limit before encountering it; or
Adjust: The user is allowed to adjust the time limit before encountering it over a wide range that is at least ten times the length of the default setting; or
Extend: The user is warned before time expires and given at least 20 seconds to extend the time limit with a simple action (for example, "press the space bar"), and the user is allowed to extend the time limit at least ten times;</t>
  </si>
  <si>
    <t>2.2.2 - Pause, Stop, Hide</t>
  </si>
  <si>
    <t>User-controllable mechanisms must be provided for pausing, stopping, or hiding automatically moving, blinking, scrolling, or updating information, unless such actions are essential to the associated activity.</t>
  </si>
  <si>
    <t>Guideline 2.3 – Seizures and Physical Reactions</t>
  </si>
  <si>
    <t>2.3.1 - Three Flashes or Below Threshold</t>
  </si>
  <si>
    <t>Web pages do not contain anything that flashes more than three times in any one second period, or the flash is below the general flash and red flash thresholds.</t>
  </si>
  <si>
    <t>Guideline 2.4 – Navigable</t>
  </si>
  <si>
    <t>2.4.1 - Bypass Blocks</t>
  </si>
  <si>
    <t>A mechanism is available to bypass blocks of content that are repeated on multiple Web pages.</t>
  </si>
  <si>
    <t>2.4.2 - Page Titled</t>
  </si>
  <si>
    <t>Web pages have titles that describe topic or purpose.</t>
  </si>
  <si>
    <t>2.4.3 - Focus Order</t>
  </si>
  <si>
    <t>If a Web page can be navigated sequentially and the navigation sequences affect meaning or operation, focusable components receive focus in an order that preserves meaning and operability.</t>
  </si>
  <si>
    <t>2.4.4 - Link Purpose (In Context)</t>
  </si>
  <si>
    <t>The purpose of each link can be determined from the link text alone or from the link text together with its programmatically determined link context</t>
  </si>
  <si>
    <t>2.4.5 - Multiple Ways</t>
  </si>
  <si>
    <t>More than one way is available to locate a Web page within a set of Web pages except where the Web Page is the result of, or a step in, a process.</t>
  </si>
  <si>
    <t>2.4.6 - Headings and Labels</t>
  </si>
  <si>
    <t>Headings and labels describe topic or purpose.</t>
  </si>
  <si>
    <t>2.4.7 - Focus Visible</t>
  </si>
  <si>
    <t>Any keyboard operable user interface has a mode of operation where the keyboard focus indicator is visible.</t>
  </si>
  <si>
    <t>2.4.11Focus Not Obscured (Minimum)</t>
  </si>
  <si>
    <t>When a user interface component receives keyboard focus, the component is not entirely hidden due to author-created content.</t>
  </si>
  <si>
    <t>Guideline 2.5 – Input Modalities</t>
  </si>
  <si>
    <t>2.5.1 - Pointer Gestures</t>
  </si>
  <si>
    <t>All functionality that uses multipoint or path-based gestures for operation can be operated with a single pointer without a path-based gesture, unless a multipoint or path-based gesture is essential.</t>
  </si>
  <si>
    <t>2.5.2 - Pointer Cancellation</t>
  </si>
  <si>
    <t>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function after completion</t>
  </si>
  <si>
    <t>2.5.3 - Label in Name</t>
  </si>
  <si>
    <t>For user interface components with labels that include text or images of text, the name contains the text that is presented visually.</t>
  </si>
  <si>
    <t>2.5.4 - Motion Actuation</t>
  </si>
  <si>
    <t>2.5.7-Dragging Movements</t>
  </si>
  <si>
    <t>All functionality that uses a dragging movement for operation can be achieved by a single pointer without dragging, unless dragging is essential or the functionality is determined by the user agent and not modified by the author.</t>
  </si>
  <si>
    <t>2.5.8-Target Size (Minimum)</t>
  </si>
  <si>
    <t>The size of the target for pointer inputs is at least 24 by 24 CSS pixels</t>
  </si>
  <si>
    <t>Guideline 3.1 – Readable</t>
  </si>
  <si>
    <t>3.1.1 - Language of Page</t>
  </si>
  <si>
    <t>The default human language of each Web page can be programmatically determined.</t>
  </si>
  <si>
    <t>3.1.2 - Language of Parts</t>
  </si>
  <si>
    <t>The human language of each passage or phrase in the content can be programmatically determined.</t>
  </si>
  <si>
    <t>Guideline 3.2 – Predictable</t>
  </si>
  <si>
    <t>3.2.1 - On Focus</t>
  </si>
  <si>
    <t>When any user interface component receives focus, it does not initiate a change of context.</t>
  </si>
  <si>
    <t>3.2.2 - On Input</t>
  </si>
  <si>
    <t>Changing the setting of any user interface component does not automatically cause a change of context unless the user has been advised of the behavior before using the component.</t>
  </si>
  <si>
    <t xml:space="preserve">3.2.3 - Consistent Navigation </t>
  </si>
  <si>
    <t>Navigational mechanisms that are repeated on multiple Web pages within a set of Web pages occur in the same relative order each time they are repeated, unless a change is initiated by the user.</t>
  </si>
  <si>
    <t>3.2.4 - Consistent Identification</t>
  </si>
  <si>
    <t>Components that have the same functionality within a set of Web pages are identified consistently.</t>
  </si>
  <si>
    <t>3.2.6-Consistent Help</t>
  </si>
  <si>
    <t>If a Web page contains any of the following help mechanisms, and those mechanisms are repeated on multiple Web pages within a set of Web pages, they occur in the same order relative to other page content, unless a change is initiated by the user: 
Human contact details;
Human contact mechanism;
Self-help option;
A fully automated contact mechanism.</t>
  </si>
  <si>
    <t>Guideline 3.3 – Input Assistance</t>
  </si>
  <si>
    <t>3.3.1 - Error Identification</t>
  </si>
  <si>
    <t>If an input error is automatically detected, the item that is in error is identified and the error is described to the user in text.</t>
  </si>
  <si>
    <t>3.3.2 - Label or Instructions</t>
  </si>
  <si>
    <t>Labels or instructions are provided when content requires user input.</t>
  </si>
  <si>
    <t>3.3.3 - Error Suggestion</t>
  </si>
  <si>
    <t>If an input error is automatically detected and suggestions for correction are known, then the suggestions are provided to the user, unless it would jeopardize the security or purpose of the content.</t>
  </si>
  <si>
    <t>3.3.4 - Error Prevention (Legal, Financial, Data)</t>
  </si>
  <si>
    <t>For web pages involving legal commitments, financial transactions, or data modifications, there must be a mechanism: either submissions are reversible, user-input data is checked for errors with correction opportunities, or there is a confirmation process before finalizing submissions.</t>
  </si>
  <si>
    <t>3.3.7-Redundant Entry</t>
  </si>
  <si>
    <t>Information previously entered by or provided to the user that is required to be entered again in the same process is either: 
auto-populated, or
available for the user to select.</t>
  </si>
  <si>
    <t>3.3.8-Accessible Authentication (Minimum)</t>
  </si>
  <si>
    <t>A cognitive function test (such as remembering a password or solving a puzzle) is not required for any step in an authentication process unless that step provides at least one of the following: 
Alternative: Another authentication method that does not rely on a cognitive function test.
Mechanism: A mechanism is available to assist the user in completing the cognitive function test.
Object Recognition: The cognitive function test is to recognize objects.
Personal Content: The cognitive function test is to identify non-text content the user provided to the Web site.</t>
  </si>
  <si>
    <t>Guideline 4.1 compatible</t>
  </si>
  <si>
    <t>4.1.1 - Parsing</t>
  </si>
  <si>
    <t>In content implemented using markup languages, elements have complete start and end tags, elements are nested according to their specifications, elements do not contain duplicate attributes, and any IDs are unique, except where the specifications allow these features.</t>
  </si>
  <si>
    <t>4.1.2 - Name, Role, Value</t>
  </si>
  <si>
    <t>For all user interface components (including but not limited to: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t>
  </si>
  <si>
    <t xml:space="preserve">4.1.3 - Status Messages </t>
  </si>
  <si>
    <t>In content implemented using markup languages, status messages can be programmatically determined through role or properties such that they can be presented to the user by assistive technologies without receiving focus.</t>
  </si>
  <si>
    <t>navigational mechanisms that are repeated on multiple Web pages within a set of Web pages occur in the same relative order each time they are repeated, unless a change is initiated by the user.</t>
  </si>
  <si>
    <t>Reference link</t>
  </si>
  <si>
    <t>https://www.washington.edu/accesscomputing/AU/after.html</t>
  </si>
  <si>
    <t>Follow this link to see how an accessible page behaves with a screen reader.</t>
  </si>
  <si>
    <t xml:space="preserve"> </t>
  </si>
  <si>
    <t>Dev Remarks</t>
  </si>
  <si>
    <t>The pages currently being tested represent only a few sections of the website. The developer must apply the necessary changes across all pages before the final audit</t>
  </si>
  <si>
    <t>Not Applicable</t>
  </si>
  <si>
    <t>Fail</t>
  </si>
  <si>
    <t>Pass</t>
  </si>
  <si>
    <t>The contrast between foreground and background should be at least 4.5:1 for accessibility.</t>
  </si>
  <si>
    <t>Images</t>
  </si>
  <si>
    <t xml:space="preserve">Headings </t>
  </si>
  <si>
    <t>The page should include one H1, and all other headings should follow a hierarchical order from H2 to H6 without skipping levels.</t>
  </si>
  <si>
    <t xml:space="preserve">Error message </t>
  </si>
  <si>
    <t>Backoffice Login page - Prabhat Financial Services Limited</t>
  </si>
  <si>
    <t>https://backoffice.pfslindia.co.in/capexweb/capexweb/</t>
  </si>
  <si>
    <t>The username and password fields do not have accessible names or labels.</t>
  </si>
  <si>
    <t>Form Fields</t>
  </si>
  <si>
    <t>Provide appropriate labels for both fields.</t>
  </si>
  <si>
    <t>The Login button fails to meet the minimum color contrast requirement, as white text is displayed on a light blue background.</t>
  </si>
  <si>
    <t xml:space="preserve">Login button
</t>
  </si>
  <si>
    <t>At 400% zoom, the page requires both horizontal and vertical scrolling, which affects usability.</t>
  </si>
  <si>
    <t>Zoomed to 400%</t>
  </si>
  <si>
    <t>The content should reflow to support single-direction (vertical) scrolling.</t>
  </si>
  <si>
    <t>Backoffice Home page - Prabhat Financial Services Limited</t>
  </si>
  <si>
    <t>https://backoffice.pfslindia.co.in/capexweb/capexweb/parent_main_page_upload</t>
  </si>
  <si>
    <t>Two images on the page (SEBI and footer logo) lack appropriate alternative text.</t>
  </si>
  <si>
    <t>The logo should include meaningful alt text, while the SEBI image appears to contain substantial textual information and should be presented as actual text instead of an image.</t>
  </si>
  <si>
    <t>The page is missing a Level 1 heading, which is essential for conveying the page’s purpose.</t>
  </si>
  <si>
    <t>Accessible names should be updated, and non-functional focusable elements should be removed</t>
  </si>
  <si>
    <t>1. Side menu buttons are incorrectly labeled as “FTV 2 folder,” which does not reflect their purpose. Furthermore, keyboard focus moves to a “.” element that appears to be non-interactive.
2. Several form controls, including input fields and calendar components, lack accessible names.</t>
  </si>
  <si>
    <t>1. Buttons on side menu
2. Form fields</t>
  </si>
  <si>
    <t>On input error, the message is visually displayed but not programmatically announced to screen reader users.</t>
  </si>
  <si>
    <t>The error should be conveyed using an alert/status mechanism or receive focus to ensure it is communicated effectively.</t>
  </si>
  <si>
    <t>KYC - Prabhat Financial Services Limited</t>
  </si>
  <si>
    <t>https://www.cvlkra.com/Default.aspx</t>
  </si>
  <si>
    <t>Form field Input fields  lack accessible names.</t>
  </si>
  <si>
    <t>Form fields</t>
  </si>
  <si>
    <t>Page when zoomed to 400%</t>
  </si>
  <si>
    <t>The top-page slider provides a play/pause control; however, the control is not operable via keyboard or mouse interaction.</t>
  </si>
  <si>
    <t>Pause/play button</t>
  </si>
  <si>
    <t>This restricts users from controlling the automated content and should be addressed to ensure full operability.</t>
  </si>
  <si>
    <t>The page does not provide a mechanism to bypass repeated content (e.g., skip links).</t>
  </si>
  <si>
    <t>Skip Links</t>
  </si>
  <si>
    <t>A skip link should be implemented to allow users to quickly navigate to the main content.</t>
  </si>
  <si>
    <t>REKYC - Prabhat Financial Services Limited</t>
  </si>
  <si>
    <t>https://rekyc.meon.co.in/v1/company/pfsl/modification/login</t>
  </si>
  <si>
    <t>The logo currently has non-descriptive alt text (“company logo”).</t>
  </si>
  <si>
    <t>The alt text should be updated to a more meaningful description that identifies the brand.
Example: alt="Logo of Prabhat Financial Service Pvt. Ltd.".</t>
  </si>
  <si>
    <t xml:space="preserve">Image </t>
  </si>
  <si>
    <t>At 400% zoom, the pages vertical scrolling is not working , which affects usability.</t>
  </si>
  <si>
    <t>Login Page IOS - Prabhat Financial Services Limited</t>
  </si>
  <si>
    <t>The logo currently has non-descriptive alt text (“App logo”).</t>
  </si>
  <si>
    <t>The View Password control lacks an accessible name, resulting in it not being properly announced by screen readers.</t>
  </si>
  <si>
    <t>View Password button</t>
  </si>
  <si>
    <t>A descriptive accessible label should be provided. aria-label="Show password" / aria-label="Hide password"</t>
  </si>
  <si>
    <t>The heading structure is not sequential, with levels skipping from H3</t>
  </si>
  <si>
    <t>Headings</t>
  </si>
  <si>
    <t xml:space="preserve">The page should include one H1, and all other headings should follow a hierarchical order from H2 to H6 without skipping levels.
</t>
  </si>
  <si>
    <t xml:space="preserve">all the buttons lack accessible names, making them unclear for screen reader users. </t>
  </si>
  <si>
    <t xml:space="preserve">buttons </t>
  </si>
  <si>
    <t>Each control should include a descriptive accessible label.</t>
  </si>
  <si>
    <t>On  input error, no announcement is made, and keyboard focus does not shifts to the Error message.</t>
  </si>
  <si>
    <t>Error messages should be programmatically conveyed using an alert/status mechanism to ensure users are notified of the error.</t>
  </si>
  <si>
    <t>HomePage IOS - Prabhat Financial Services Limited</t>
  </si>
  <si>
    <t>Nifty50 Page IOS - Prabhat Financial Services Limited</t>
  </si>
  <si>
    <t>The heading structure is not sequential, with levels skipping from H1 to H3 to H5</t>
  </si>
  <si>
    <t xml:space="preserve">All the buttons does not have accessible names, making them unclear for screen reader users. </t>
  </si>
  <si>
    <t>Stocks info page (bank of baroda) - Prabhat Financial Services Limited</t>
  </si>
  <si>
    <t>1. The heading structure is not sequential, with levels skipping from H3 to H5
2. The table under the Market Depth section does not use proper header markup (&lt;th&gt;), resulting in poor navigation and lack of context for screen reader users.</t>
  </si>
  <si>
    <t>1. Headings
2. Table</t>
  </si>
  <si>
    <t xml:space="preserve">1. The page should include one H1, and all other headings should follow a hierarchical order from H2 to H6 without skipping levels.
2. Tables should be semantically structured using appropriate markup to support effective navigation for assistive technology users.
</t>
  </si>
  <si>
    <t>The Set Alert, Graph, Heart button in buying page and Select Watchlist controls also The radio buttons for NSE and BSE, Plus and minus buttons dropdowns while buying do not have accessible names.</t>
  </si>
  <si>
    <t>These controls should be properly labeled or grouped with a descriptive legend.</t>
  </si>
  <si>
    <t>Add fund page - Prabhat Financial Services Limited</t>
  </si>
  <si>
    <t xml:space="preserve">The heading structure is not sequential, with levels skipping from H2
</t>
  </si>
  <si>
    <t xml:space="preserve">Headings
</t>
  </si>
  <si>
    <t xml:space="preserve">The page should include one H1, and all other headings should follow a hierarchical order from H2 to H6 without skipping levels.
</t>
  </si>
  <si>
    <t>Provide appropriate labels or group them with a descriptive question.</t>
  </si>
  <si>
    <t xml:space="preserve">The radio buttons for  Net Banking  and Close/back buttons, Dropdowns and back buttons are unlabeled and do not convey their purpose. 
</t>
  </si>
  <si>
    <t>Market Page IOS - Prabhat Financial Services Limited</t>
  </si>
  <si>
    <t>Multiple decorative green and red graph images and other Icons on the page do not have alt="".</t>
  </si>
  <si>
    <t>Icons</t>
  </si>
  <si>
    <t>Decorative images should include alt="" to prevent unnecessary announcements by screen readers.</t>
  </si>
  <si>
    <t>The heading structure is not sequential, with levels skipping from H1 to H3</t>
  </si>
  <si>
    <t>Several dropdown controls lack accessible names, making them unclear for screen reader users.</t>
  </si>
  <si>
    <t xml:space="preserve">Dropdowns </t>
  </si>
  <si>
    <t>Each dropdown should be programmatically associated with a descriptive label.</t>
  </si>
  <si>
    <t>Several links are labeled “View More,”and "View all" which does not provide sufficient context for users.</t>
  </si>
  <si>
    <t>View more and View all links</t>
  </si>
  <si>
    <t>Link text should be updated to be more descriptive or supplemented with aria-labels to clearly convey purpose.
Examples: “View all indices,” “View more funds.”</t>
  </si>
  <si>
    <t>https://apps.apple.com/in/app/prabhat-elite-plus/id1661512283</t>
  </si>
  <si>
    <t>https://www.pfslindia.co.in/</t>
  </si>
  <si>
    <t>Not applicable</t>
  </si>
  <si>
    <t>fail</t>
  </si>
  <si>
    <t>The page does not provide a mechanism such as a skip link or bypass link that allows keyboard users to skip repetitive navigation and move directly to the main content. As a result, users relying on keyboard navigation must tab through all repeated elements on every page</t>
  </si>
  <si>
    <t>Add a visible or screen reader accessible “Skip to main content” link at the top of the page that becomes visible on keyboard focus. Ensure it correctly moves focus to the main content section using proper anchor links or landmarks such as the main element.</t>
  </si>
  <si>
    <t xml:space="preserve">link provided to move to the top of the page does not have an accessible name or proper role defined. </t>
  </si>
  <si>
    <t>Link at the end of the page</t>
  </si>
  <si>
    <t>Ensure the link has a clear and descriptive accessible name using visible text</t>
  </si>
  <si>
    <t>Header and Footer - Prabhat Financial Services Limited</t>
  </si>
  <si>
    <t>The logo image is marked as decorative (alt="") and does not have alt text.</t>
  </si>
  <si>
    <t>Logo</t>
  </si>
  <si>
    <t>The color combinations of white text on pink and black text on blue fail to meet the minimum color contrast requirements.</t>
  </si>
  <si>
    <t xml:space="preserve">white text on pink and black text on blue background </t>
  </si>
  <si>
    <t>A minimum contrast ratio of 4.5:1 between foreground and background should be maintained to ensure readability and accessibility.</t>
  </si>
  <si>
    <t>There is a moving text slider on the page that does not provide a play/pause mechanism.</t>
  </si>
  <si>
    <t>Play/pause button</t>
  </si>
  <si>
    <t>A mechanism should be implemented to allow users to pause or control the movement.</t>
  </si>
  <si>
    <t>HomePage - Prabhat Financial Services Limited</t>
  </si>
  <si>
    <t xml:space="preserve"> The form uses an image CAPTCHA without providing a text alternative or accessible alternative. </t>
  </si>
  <si>
    <t xml:space="preserve">Provide an accessible alternative to the image CAPTCHA, such as an audio CAPTCHA, logical question, or other non-visual verification method. </t>
  </si>
  <si>
    <t>There is no H1 heading on the page to indicate the name or purpose of the page.</t>
  </si>
  <si>
    <t>Headings should be in hierarchical order H1 to H6.</t>
  </si>
  <si>
    <t xml:space="preserve">The selection input field has an unclear and ambiguous label such as “select any option,” which does not describe the purpose of the field. </t>
  </si>
  <si>
    <t>Provide a clear and descriptive label that identifies the purpose of the field, such as the specific type of information being requested. Ensure the label is properly associated with the input using label elements</t>
  </si>
  <si>
    <t>There is no bypass block on the webpage. Provide a ‘Skip to main content’ link so users can bypass repeated header elements.</t>
  </si>
  <si>
    <t xml:space="preserve">Skip to main content </t>
  </si>
  <si>
    <t>Upon activating the bypass block, the focus should skip the header section and move directly to the main part of the page.</t>
  </si>
  <si>
    <t>Each page should have an unique title like home, about, contact.</t>
  </si>
  <si>
    <t>Page title</t>
  </si>
  <si>
    <t xml:space="preserve">The meeting form displays very generic error messages that do not identify which specific field has an error. </t>
  </si>
  <si>
    <t xml:space="preserve">Provide clear and specific error messages that identify the exact field with the error and describe the issue in text. </t>
  </si>
  <si>
    <t xml:space="preserve">The list in the Schedule a Meeting form does not have a proper role such as combobox or listbox defined. </t>
  </si>
  <si>
    <t xml:space="preserve">Ensure the list is implemented using appropriate semantic HTML elements such as select, or apply correct ARIA roles like combobox or listbox </t>
  </si>
  <si>
    <t>The error messages in the meeting form are not implemented using a live region.  in the form</t>
  </si>
  <si>
    <t>Error messages  in the form</t>
  </si>
  <si>
    <t xml:space="preserve">Use ARIA live regions (such as aria-live="assertive" or aria-live="polite") to ensure that error messages are announced automatically to screen reader users when they appear. </t>
  </si>
  <si>
    <t>Captcha image</t>
  </si>
  <si>
    <t>List</t>
  </si>
  <si>
    <t>There is a moving text slider under the header that does not provide a play/pause mechanism.</t>
  </si>
  <si>
    <t>Give an unique title to every page of the site. E.g. "Home Page"</t>
  </si>
  <si>
    <t>Meeting Form</t>
  </si>
  <si>
    <t>List in meeting Form</t>
  </si>
  <si>
    <t>Contact us - Prabhat Financial Services Limited</t>
  </si>
  <si>
    <t>https://www.pfslindia.co.in/contact.php</t>
  </si>
  <si>
    <t>List in contact form</t>
  </si>
  <si>
    <t>each page should have an unique title like home, about us etc</t>
  </si>
  <si>
    <t>Give an unique title to every page.</t>
  </si>
  <si>
    <t xml:space="preserve">The contact form displays very generic error messages that do not identify which specific field has an error. </t>
  </si>
  <si>
    <t xml:space="preserve">The list in the Schedule a contact form does not have a proper role such as combobox or listbox defined. </t>
  </si>
  <si>
    <t>The combination of black text on a blue background fails to meet the minimum color contrast requirements.</t>
  </si>
  <si>
    <t>Black text on blue background</t>
  </si>
  <si>
    <t>Give an unique title to every page, Contact us</t>
  </si>
  <si>
    <t>Contact form</t>
  </si>
  <si>
    <t>Useful Links - Prabhat Financial Services Limited</t>
  </si>
  <si>
    <t>https://www.pfslindia.co.in/useful_links.php</t>
  </si>
  <si>
    <t>The list of links</t>
  </si>
  <si>
    <t>Skip link</t>
  </si>
  <si>
    <t>Each page must have unique title like download</t>
  </si>
  <si>
    <t>Download - Prabhat Financial Services Limited</t>
  </si>
  <si>
    <t>The download table</t>
  </si>
  <si>
    <t>Skip links</t>
  </si>
  <si>
    <t>Multiple links are labeled “Click here to download,” which does not provide sufficient context for screen reader users.</t>
  </si>
  <si>
    <t>Click here to download link</t>
  </si>
  <si>
    <t>Each link should include descriptive text indicating the specific content or file being downloaded.</t>
  </si>
  <si>
    <t>https://www.pfslindia.co.in/download-forms.php</t>
  </si>
  <si>
    <t>Login - Prabhat Financial Services Limited</t>
  </si>
  <si>
    <t>https://www.pfslindia.co.in/wealth-elite-login.php</t>
  </si>
  <si>
    <t>The download table do not have proper rowheaders. And the heading hirarchy is broken</t>
  </si>
  <si>
    <t>Use th tag to mark row headers, and provide headings in a logical order from H1 to  H6</t>
  </si>
  <si>
    <t>The content presents a list visually, but it is not coded using proper list elements. And the heading hirarchy is broken</t>
  </si>
  <si>
    <t>Use proper semantic list markup.  Like li/ ol/ ul, and provide headings in a logical order from H1 to  H6</t>
  </si>
  <si>
    <t>1.  The form uses an image CAPTCHA without providing a text alternative or accessible alternative. 
2. mages across the page lack appropriate alternative text</t>
  </si>
  <si>
    <t>1. Captcha image
2. Images</t>
  </si>
  <si>
    <t>1. Provide an accessible alternative to the image CAPTCHA, such as an audio CAPTCHA, logical question, or other non-visual verification method. 
2. Informative images should include meaningful descriptions, while decorative images should be marked with empty alt attributes (alt="") to avoid unnecessary announcements.</t>
  </si>
  <si>
    <t>The sub-options under the REKYC control are not accessible via keyboard navigation. Users are unable to interact with this section using a keyboard.</t>
  </si>
  <si>
    <t>Buttons in header</t>
  </si>
  <si>
    <t>This section should be fully operable using keyboard input.</t>
  </si>
  <si>
    <t>On submission with invalid input, the page reloads and redirects to the home page without providing any error feedback. This creates confusion for screen reader users.</t>
  </si>
  <si>
    <t>The application should provide clear error messages and avoid unexpected page navigation.</t>
  </si>
  <si>
    <t>Login Page Android - Prabhat Financial Services Limited</t>
  </si>
  <si>
    <t>The keyboard focus is not moving to The View Password control because it lacks an accessible name.</t>
  </si>
  <si>
    <t>HomePage Android - Prabhat Financial Services Limited</t>
  </si>
  <si>
    <t>All the buttons does not have accessible names, making them unclear for screen reader users, also tocuh focus is ot moving to them</t>
  </si>
  <si>
    <t>all the buttons lack accessible names, making them unclear for screen reader users.</t>
  </si>
  <si>
    <t>https://play.google.com/store/apps/details?id=com.wave.PrabhatElitePlus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</si>
</sst>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u/>
      <sz val="11"/>
      <color theme="10"/>
      <name val="Aptos Narrow"/>
      <family val="2"/>
      <scheme val="minor"/>
    </font>
    <font>
      <b/>
      <sz val="20"/>
      <color theme="1"/>
      <name val="Aptos Narrow"/>
      <family val="2"/>
      <scheme val="minor"/>
    </font>
    <font>
      <b/>
      <sz val="12"/>
      <color theme="1"/>
      <name val="Aptos Narrow"/>
      <family val="2"/>
      <scheme val="minor"/>
    </font>
    <font>
      <sz val="10"/>
      <color rgb="FF000000"/>
      <name val="Aptos Narrow"/>
      <family val="2"/>
      <scheme val="minor"/>
    </font>
    <font>
      <b/>
      <sz val="13"/>
      <color theme="1"/>
      <name val="Aptos Narrow"/>
      <family val="2"/>
      <scheme val="minor"/>
    </font>
    <font>
      <sz val="13"/>
      <color theme="1"/>
      <name val="Aptos Narrow"/>
      <family val="2"/>
      <scheme val="minor"/>
    </font>
    <font>
      <sz val="12"/>
      <color theme="1"/>
      <name val="Aptos Narrow"/>
      <family val="2"/>
      <scheme val="minor"/>
    </font>
    <font>
      <sz val="12"/>
      <name val="Aptos Narrow"/>
      <family val="2"/>
      <scheme val="minor"/>
    </font>
    <font>
      <b/>
      <sz val="12"/>
      <color theme="0"/>
      <name val="Aptos Narrow"/>
      <family val="2"/>
      <scheme val="minor"/>
    </font>
    <font>
      <sz val="12"/>
      <color rgb="FF000000"/>
      <name val="Aptos Narrow"/>
      <family val="2"/>
      <scheme val="minor"/>
    </font>
  </fonts>
  <fills count="11">
    <fill>
      <patternFill patternType="none"/>
    </fill>
    <fill>
      <patternFill patternType="gray125"/>
    </fill>
    <fill>
      <patternFill patternType="solid">
        <fgColor rgb="FFA4C2F4"/>
        <bgColor rgb="FFA4C2F4"/>
      </patternFill>
    </fill>
    <fill>
      <patternFill patternType="solid">
        <fgColor rgb="FF92D050"/>
        <bgColor indexed="64"/>
      </patternFill>
    </fill>
    <fill>
      <patternFill patternType="solid">
        <fgColor rgb="FFFF4B4B"/>
        <bgColor indexed="64"/>
      </patternFill>
    </fill>
    <fill>
      <patternFill patternType="solid">
        <fgColor rgb="FFFFFF00"/>
        <bgColor indexed="64"/>
      </patternFill>
    </fill>
    <fill>
      <patternFill patternType="solid">
        <fgColor theme="4"/>
        <bgColor rgb="FFA4C2F4"/>
      </patternFill>
    </fill>
    <fill>
      <patternFill patternType="solid">
        <fgColor theme="4"/>
        <bgColor indexed="64"/>
      </patternFill>
    </fill>
    <fill>
      <patternFill patternType="solid">
        <fgColor theme="0"/>
        <bgColor indexed="64"/>
      </patternFill>
    </fill>
    <fill>
      <patternFill patternType="solid">
        <fgColor rgb="FFFFFF00"/>
        <bgColor rgb="FFA4C2F4"/>
      </patternFill>
    </fill>
    <fill>
      <patternFill patternType="solid">
        <fgColor rgb="FFFF5353"/>
        <bgColor rgb="FF000000"/>
      </patternFill>
    </fill>
  </fills>
  <borders count="10">
    <border>
      <left/>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3">
    <xf numFmtId="0" fontId="0" fillId="0" borderId="0"/>
    <xf numFmtId="0" fontId="1" fillId="0" borderId="0" applyNumberFormat="0" applyFill="0" applyBorder="0" applyAlignment="0" applyProtection="0"/>
    <xf numFmtId="0" fontId="4" fillId="0" borderId="0"/>
  </cellStyleXfs>
  <cellXfs count="64">
    <xf numFmtId="0" fontId="0" fillId="0" borderId="0" xfId="0"/>
    <xf numFmtId="0" fontId="2"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5" fillId="0" borderId="0" xfId="0" applyFont="1" applyAlignment="1">
      <alignment horizontal="left" vertical="center"/>
    </xf>
    <xf numFmtId="0" fontId="1" fillId="0" borderId="0" xfId="1" applyAlignment="1">
      <alignment horizontal="left" vertical="center"/>
    </xf>
    <xf numFmtId="15" fontId="5" fillId="0" borderId="0" xfId="0" applyNumberFormat="1" applyFont="1" applyAlignment="1">
      <alignment horizontal="left" vertical="center"/>
    </xf>
    <xf numFmtId="0" fontId="5" fillId="3" borderId="0" xfId="0" applyFont="1" applyFill="1" applyAlignment="1">
      <alignment horizontal="left" vertical="center"/>
    </xf>
    <xf numFmtId="0" fontId="5" fillId="4" borderId="0" xfId="0" applyFont="1" applyFill="1" applyAlignment="1">
      <alignment horizontal="left" vertical="center"/>
    </xf>
    <xf numFmtId="0" fontId="5" fillId="5" borderId="0" xfId="0" applyFont="1" applyFill="1" applyAlignment="1">
      <alignment horizontal="left" vertical="center"/>
    </xf>
    <xf numFmtId="0" fontId="0" fillId="0" borderId="5" xfId="0" applyBorder="1" applyAlignment="1">
      <alignment horizontal="left"/>
    </xf>
    <xf numFmtId="0" fontId="0" fillId="0" borderId="5" xfId="0" applyBorder="1" applyAlignment="1">
      <alignment horizontal="center"/>
    </xf>
    <xf numFmtId="0" fontId="0" fillId="0" borderId="0" xfId="0" applyAlignment="1">
      <alignment horizontal="left"/>
    </xf>
    <xf numFmtId="0" fontId="3" fillId="2" borderId="6" xfId="2" applyFont="1" applyFill="1" applyBorder="1" applyAlignment="1">
      <alignment horizontal="left" vertical="top" wrapText="1"/>
    </xf>
    <xf numFmtId="0" fontId="3" fillId="2" borderId="6" xfId="2" applyFont="1" applyFill="1" applyBorder="1" applyAlignment="1">
      <alignment horizontal="center" vertical="top" wrapText="1"/>
    </xf>
    <xf numFmtId="0" fontId="3" fillId="0" borderId="0" xfId="0" applyFont="1" applyAlignment="1">
      <alignment horizontal="left"/>
    </xf>
    <xf numFmtId="0" fontId="3" fillId="6" borderId="2" xfId="2" applyFont="1" applyFill="1" applyBorder="1" applyAlignment="1">
      <alignment horizontal="left" vertical="top" wrapText="1"/>
    </xf>
    <xf numFmtId="0" fontId="3" fillId="6" borderId="0" xfId="2" applyFont="1" applyFill="1" applyAlignment="1">
      <alignment horizontal="center" vertical="top" wrapText="1"/>
    </xf>
    <xf numFmtId="0" fontId="3" fillId="6" borderId="0" xfId="2" applyFont="1" applyFill="1" applyAlignment="1">
      <alignment horizontal="left" vertical="top" wrapText="1"/>
    </xf>
    <xf numFmtId="0" fontId="7" fillId="0" borderId="0" xfId="0" applyFont="1" applyAlignment="1">
      <alignment horizontal="left"/>
    </xf>
    <xf numFmtId="0" fontId="7" fillId="0" borderId="6" xfId="2" applyFont="1" applyBorder="1" applyAlignment="1">
      <alignment horizontal="left" vertical="top" wrapText="1"/>
    </xf>
    <xf numFmtId="0" fontId="7" fillId="0" borderId="6" xfId="2" applyFont="1" applyBorder="1" applyAlignment="1">
      <alignment horizontal="center" vertical="top" wrapText="1"/>
    </xf>
    <xf numFmtId="0" fontId="7" fillId="7" borderId="2" xfId="2" applyFont="1" applyFill="1" applyBorder="1" applyAlignment="1">
      <alignment horizontal="left" vertical="top" wrapText="1"/>
    </xf>
    <xf numFmtId="0" fontId="7" fillId="7" borderId="0" xfId="2" applyFont="1" applyFill="1" applyAlignment="1">
      <alignment horizontal="center" vertical="top" wrapText="1"/>
    </xf>
    <xf numFmtId="0" fontId="7" fillId="7" borderId="0" xfId="2" applyFont="1" applyFill="1" applyAlignment="1">
      <alignment horizontal="left" vertical="top" wrapText="1"/>
    </xf>
    <xf numFmtId="0" fontId="7" fillId="0" borderId="2" xfId="2" applyFont="1" applyBorder="1" applyAlignment="1">
      <alignment horizontal="left" vertical="top" wrapText="1"/>
    </xf>
    <xf numFmtId="0" fontId="7" fillId="7" borderId="1" xfId="2" applyFont="1" applyFill="1" applyBorder="1" applyAlignment="1">
      <alignment horizontal="left" vertical="top" wrapText="1"/>
    </xf>
    <xf numFmtId="0" fontId="7" fillId="7" borderId="7" xfId="2" applyFont="1" applyFill="1" applyBorder="1" applyAlignment="1">
      <alignment horizontal="center" vertical="top" wrapText="1"/>
    </xf>
    <xf numFmtId="0" fontId="7" fillId="7" borderId="7" xfId="2" applyFont="1" applyFill="1" applyBorder="1" applyAlignment="1">
      <alignment horizontal="left" vertical="top" wrapText="1"/>
    </xf>
    <xf numFmtId="0" fontId="7" fillId="0" borderId="0" xfId="0" applyFont="1" applyAlignment="1">
      <alignment horizontal="left" wrapText="1"/>
    </xf>
    <xf numFmtId="0" fontId="7" fillId="0" borderId="8" xfId="2" applyFont="1" applyBorder="1" applyAlignment="1">
      <alignment horizontal="left" vertical="top" wrapText="1"/>
    </xf>
    <xf numFmtId="0" fontId="7" fillId="7" borderId="8" xfId="2" applyFont="1" applyFill="1" applyBorder="1" applyAlignment="1">
      <alignment horizontal="left" vertical="top" wrapText="1"/>
    </xf>
    <xf numFmtId="0" fontId="7" fillId="7" borderId="4" xfId="2" applyFont="1" applyFill="1" applyBorder="1" applyAlignment="1">
      <alignment horizontal="center" vertical="top" wrapText="1"/>
    </xf>
    <xf numFmtId="0" fontId="7" fillId="7" borderId="4" xfId="2" applyFont="1" applyFill="1" applyBorder="1" applyAlignment="1">
      <alignment horizontal="left" vertical="top" wrapText="1"/>
    </xf>
    <xf numFmtId="0" fontId="7" fillId="0" borderId="9" xfId="2" applyFont="1" applyBorder="1" applyAlignment="1">
      <alignment horizontal="left" vertical="top" wrapText="1"/>
    </xf>
    <xf numFmtId="0" fontId="7" fillId="0" borderId="5" xfId="2" applyFont="1" applyBorder="1" applyAlignment="1">
      <alignment horizontal="center" vertical="top" wrapText="1"/>
    </xf>
    <xf numFmtId="0" fontId="7" fillId="0" borderId="5" xfId="2" applyFont="1" applyBorder="1" applyAlignment="1">
      <alignment horizontal="left" vertical="top" wrapText="1"/>
    </xf>
    <xf numFmtId="0" fontId="8" fillId="7" borderId="9" xfId="2" applyFont="1" applyFill="1" applyBorder="1" applyAlignment="1">
      <alignment horizontal="left" vertical="top" wrapText="1"/>
    </xf>
    <xf numFmtId="0" fontId="8" fillId="7" borderId="5" xfId="2" applyFont="1" applyFill="1" applyBorder="1" applyAlignment="1">
      <alignment horizontal="center" vertical="top" wrapText="1"/>
    </xf>
    <xf numFmtId="0" fontId="8" fillId="7" borderId="5" xfId="2" applyFont="1" applyFill="1" applyBorder="1" applyAlignment="1">
      <alignment horizontal="left" vertical="top" wrapText="1"/>
    </xf>
    <xf numFmtId="0" fontId="7" fillId="8" borderId="6" xfId="2" applyFont="1" applyFill="1" applyBorder="1" applyAlignment="1">
      <alignment horizontal="center" vertical="top" wrapText="1"/>
    </xf>
    <xf numFmtId="0" fontId="7" fillId="8" borderId="6" xfId="2" applyFont="1" applyFill="1" applyBorder="1" applyAlignment="1">
      <alignment horizontal="left" vertical="top" wrapText="1"/>
    </xf>
    <xf numFmtId="0" fontId="7" fillId="0" borderId="0" xfId="0" applyFont="1" applyAlignment="1">
      <alignment horizontal="center"/>
    </xf>
    <xf numFmtId="0" fontId="0" fillId="0" borderId="0" xfId="0" applyAlignment="1">
      <alignment horizontal="center"/>
    </xf>
    <xf numFmtId="0" fontId="7" fillId="0" borderId="6" xfId="2" applyFont="1" applyBorder="1" applyAlignment="1">
      <alignment horizontal="center" vertical="center" wrapText="1"/>
    </xf>
    <xf numFmtId="0" fontId="5" fillId="0" borderId="0" xfId="0" applyFont="1" applyAlignment="1">
      <alignment horizontal="left" vertical="top" wrapText="1"/>
    </xf>
    <xf numFmtId="0" fontId="9" fillId="6" borderId="2" xfId="2" applyFont="1" applyFill="1" applyBorder="1" applyAlignment="1">
      <alignment horizontal="left" vertical="top" wrapText="1"/>
    </xf>
    <xf numFmtId="0" fontId="1" fillId="0" borderId="6" xfId="1" applyBorder="1" applyAlignment="1">
      <alignment horizontal="left" vertical="top" wrapText="1"/>
    </xf>
    <xf numFmtId="0" fontId="1" fillId="0" borderId="0" xfId="1" applyAlignment="1">
      <alignment horizontal="left" vertical="top"/>
    </xf>
    <xf numFmtId="0" fontId="3" fillId="9" borderId="0" xfId="2" applyFont="1" applyFill="1" applyAlignment="1">
      <alignment horizontal="left" vertical="top" wrapText="1"/>
    </xf>
    <xf numFmtId="0" fontId="7" fillId="0" borderId="6" xfId="2" quotePrefix="1" applyFont="1" applyBorder="1" applyAlignment="1">
      <alignment horizontal="left" vertical="top" wrapText="1"/>
    </xf>
    <xf numFmtId="0" fontId="5" fillId="0" borderId="4" xfId="0" applyFont="1" applyBorder="1" applyAlignment="1">
      <alignment horizontal="left" vertical="center"/>
    </xf>
    <xf numFmtId="0" fontId="6" fillId="0" borderId="4" xfId="0" applyFont="1" applyBorder="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5" fillId="2" borderId="2" xfId="2" applyFont="1" applyFill="1" applyBorder="1" applyAlignment="1">
      <alignment horizontal="left" vertical="center" wrapText="1"/>
    </xf>
    <xf numFmtId="0" fontId="6" fillId="0" borderId="3" xfId="0" applyFont="1" applyBorder="1" applyAlignment="1">
      <alignment horizontal="left" vertical="center" wrapText="1"/>
    </xf>
    <xf numFmtId="0" fontId="5" fillId="0" borderId="0" xfId="0" applyFont="1" applyAlignment="1">
      <alignment horizontal="left" vertical="top" wrapText="1"/>
    </xf>
    <xf numFmtId="0" fontId="5" fillId="0" borderId="0" xfId="0" applyFont="1" applyAlignment="1">
      <alignment horizontal="left" vertical="top"/>
    </xf>
    <xf numFmtId="0" fontId="5" fillId="2" borderId="1" xfId="2" applyFont="1" applyFill="1" applyBorder="1" applyAlignment="1">
      <alignment horizontal="left" vertical="center" wrapText="1"/>
    </xf>
    <xf numFmtId="0" fontId="5" fillId="2" borderId="0" xfId="2" applyFont="1" applyFill="1" applyAlignment="1">
      <alignment horizontal="left" vertical="center" wrapText="1"/>
    </xf>
    <xf numFmtId="0" fontId="6" fillId="0" borderId="0" xfId="0" applyFont="1" applyAlignment="1">
      <alignment vertical="center"/>
    </xf>
    <xf numFmtId="0" fontId="10" fillId="10" borderId="6" xfId="0" applyFont="1" applyFill="1" applyBorder="1" applyAlignment="1">
      <alignment horizontal="left" vertical="top" wrapText="1"/>
    </xf>
    <xf numFmtId="0" fontId="10" fillId="10" borderId="2" xfId="0" applyFont="1" applyFill="1" applyBorder="1" applyAlignment="1">
      <alignment horizontal="left" vertical="top" wrapText="1"/>
    </xf>
  </cellXfs>
  <cellStyles count="3">
    <cellStyle name="Hyperlink" xfId="1" builtinId="8"/>
    <cellStyle name="Normal" xfId="0" builtinId="0"/>
    <cellStyle name="Normal 2" xfId="2" xr:uid="{E5ADBEDC-A908-4C57-A451-83D29FC88B51}"/>
  </cellStyles>
  <dxfs count="399">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FF5353"/>
        </patternFill>
      </fill>
    </dxf>
    <dxf>
      <fill>
        <patternFill>
          <bgColor rgb="FF92D050"/>
        </patternFill>
      </fill>
    </dxf>
    <dxf>
      <fill>
        <patternFill>
          <bgColor rgb="FFFE6A78"/>
        </patternFill>
      </fill>
    </dxf>
    <dxf>
      <fill>
        <patternFill>
          <bgColor rgb="FFFFFF00"/>
        </patternFill>
      </fill>
    </dxf>
    <dxf>
      <fill>
        <patternFill>
          <bgColor rgb="FF92D050"/>
        </patternFill>
      </fill>
    </dxf>
    <dxf>
      <fill>
        <patternFill>
          <bgColor rgb="FFFE6A78"/>
        </patternFill>
      </fill>
    </dxf>
    <dxf>
      <fill>
        <patternFill>
          <bgColor rgb="FFFFFF00"/>
        </patternFill>
      </fill>
    </dxf>
  </dxfs>
  <tableStyles count="0" defaultTableStyle="TableStyleMedium2" defaultPivotStyle="PivotStyleLight16"/>
  <colors>
    <mruColors>
      <color rgb="FFFF5353"/>
      <color rgb="FFFE6A78"/>
      <color rgb="FFFD5559"/>
      <color rgb="FFFD6367"/>
      <color rgb="FFFD556D"/>
      <color rgb="FFFC4E6B"/>
      <color rgb="FFFD7380"/>
      <color rgb="FFF757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8" Type="http://schemas.openxmlformats.org/officeDocument/2006/relationships/hyperlink" Target="https://backoffice.pfslindia.co.in/capexweb/capexweb/"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8" Type="http://schemas.openxmlformats.org/officeDocument/2006/relationships/hyperlink" Target="https://backoffice.pfslindia.co.in/capexweb/capexweb/parent_main_page_upload"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8" Type="http://schemas.openxmlformats.org/officeDocument/2006/relationships/hyperlink" Target="https://www.cvlkra.com/Default.aspx"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8" Type="http://schemas.openxmlformats.org/officeDocument/2006/relationships/hyperlink" Target="https://rekyc.meon.co.in/v1/company/pfsl/modification/login"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19.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hyperlink" Target="https://www.w3.org/TR/WCAG22/" TargetMode="Externa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9"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56"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 Id="rId57" Type="http://schemas.openxmlformats.org/officeDocument/2006/relationships/hyperlink" Target="https://www.washington.edu/accesscomputing/AU/after.html" TargetMode="External"/><Relationship Id="rId10"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7929C-DD51-4481-8578-368B9BBF9DB9}">
  <dimension ref="A1:O87"/>
  <sheetViews>
    <sheetView tabSelected="1" workbookViewId="0">
      <selection activeCell="D5" sqref="D5"/>
    </sheetView>
  </sheetViews>
  <sheetFormatPr defaultColWidth="0" defaultRowHeight="0"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248</v>
      </c>
    </row>
    <row r="3" spans="1:10" s="4" customFormat="1" ht="21.95" customHeight="1" x14ac:dyDescent="0.25">
      <c r="A3" s="53" t="s">
        <v>2</v>
      </c>
      <c r="B3" s="54"/>
      <c r="C3" s="5" t="s">
        <v>240</v>
      </c>
      <c r="F3" s="5"/>
    </row>
    <row r="4" spans="1:10" s="4" customFormat="1" ht="21.95" customHeight="1" x14ac:dyDescent="0.25">
      <c r="A4" s="53" t="s">
        <v>3</v>
      </c>
      <c r="B4" s="54"/>
    </row>
    <row r="5" spans="1:10" s="4" customFormat="1" ht="21.95" customHeight="1" x14ac:dyDescent="0.25">
      <c r="A5" s="53" t="s">
        <v>4</v>
      </c>
      <c r="B5" s="61"/>
      <c r="C5" s="6">
        <v>46123</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COUNTA(E17:E83)</f>
        <v>Total Number of Test: 55</v>
      </c>
      <c r="E10" s="7" t="str">
        <f>"Pass: " &amp; COUNTIF(E17:E83, "Pass")</f>
        <v>Pass: 24</v>
      </c>
      <c r="F10" s="8" t="str">
        <f>"Fail: " &amp; COUNTIF(E17:E83, "Fail")</f>
        <v>Fail: 5</v>
      </c>
      <c r="G10" s="9" t="str">
        <f>"Not applicable: " &amp; COUNTIF(E17:E83, "Not applicable")</f>
        <v>Not applicable: 26</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78.75" x14ac:dyDescent="0.25">
      <c r="A16" s="20">
        <v>1</v>
      </c>
      <c r="B16" s="47" t="s">
        <v>21</v>
      </c>
      <c r="C16" s="21" t="s">
        <v>22</v>
      </c>
      <c r="D16" s="20" t="s">
        <v>23</v>
      </c>
      <c r="E16" s="44" t="s">
        <v>242</v>
      </c>
      <c r="F16" s="20" t="s">
        <v>249</v>
      </c>
      <c r="G16" s="20" t="s">
        <v>250</v>
      </c>
      <c r="H16" s="25" t="s">
        <v>196</v>
      </c>
      <c r="J16" s="12"/>
    </row>
    <row r="17" spans="1:10" s="19" customFormat="1" ht="23.25" customHeight="1" x14ac:dyDescent="0.25">
      <c r="A17" s="22"/>
      <c r="B17" s="46" t="s">
        <v>24</v>
      </c>
      <c r="C17" s="24"/>
      <c r="D17" s="24"/>
      <c r="E17" s="24"/>
      <c r="F17" s="24"/>
      <c r="G17" s="24"/>
      <c r="H17" s="24"/>
      <c r="I17" s="24"/>
      <c r="J17" s="12"/>
    </row>
    <row r="18" spans="1:10" s="19" customFormat="1" ht="94.5" x14ac:dyDescent="0.25">
      <c r="A18" s="20">
        <v>2</v>
      </c>
      <c r="B18" s="47" t="s">
        <v>25</v>
      </c>
      <c r="C18" s="21" t="s">
        <v>22</v>
      </c>
      <c r="D18" s="20" t="s">
        <v>26</v>
      </c>
      <c r="E18" s="44" t="s">
        <v>241</v>
      </c>
      <c r="F18" s="20"/>
      <c r="G18" s="20"/>
      <c r="H18" s="25"/>
      <c r="I18" s="25"/>
    </row>
    <row r="19" spans="1:10" s="19" customFormat="1" ht="47.25" x14ac:dyDescent="0.25">
      <c r="A19" s="20">
        <v>3</v>
      </c>
      <c r="B19" s="47" t="s">
        <v>27</v>
      </c>
      <c r="C19" s="21" t="s">
        <v>22</v>
      </c>
      <c r="D19" s="20" t="s">
        <v>28</v>
      </c>
      <c r="E19" s="44" t="s">
        <v>241</v>
      </c>
      <c r="F19" s="20"/>
      <c r="G19" s="20"/>
      <c r="H19" s="25"/>
      <c r="I19" s="25"/>
    </row>
    <row r="20" spans="1:10" s="19" customFormat="1" ht="78.75" x14ac:dyDescent="0.25">
      <c r="A20" s="20">
        <v>4</v>
      </c>
      <c r="B20" s="47" t="s">
        <v>29</v>
      </c>
      <c r="C20" s="21" t="s">
        <v>22</v>
      </c>
      <c r="D20" s="20" t="s">
        <v>30</v>
      </c>
      <c r="E20" s="44" t="s">
        <v>241</v>
      </c>
      <c r="F20" s="20"/>
      <c r="G20" s="20"/>
      <c r="H20" s="25"/>
      <c r="I20" s="25"/>
    </row>
    <row r="21" spans="1:10" s="19" customFormat="1" ht="47.25" x14ac:dyDescent="0.25">
      <c r="A21" s="20">
        <v>5</v>
      </c>
      <c r="B21" s="47" t="s">
        <v>31</v>
      </c>
      <c r="C21" s="21" t="s">
        <v>32</v>
      </c>
      <c r="D21" s="20" t="s">
        <v>33</v>
      </c>
      <c r="E21" s="44" t="s">
        <v>241</v>
      </c>
      <c r="F21" s="20"/>
      <c r="G21" s="20"/>
      <c r="H21" s="25"/>
      <c r="I21" s="25"/>
    </row>
    <row r="22" spans="1:10" s="19" customFormat="1" ht="63" x14ac:dyDescent="0.25">
      <c r="A22" s="20">
        <v>6</v>
      </c>
      <c r="B22" s="47" t="s">
        <v>34</v>
      </c>
      <c r="C22" s="21" t="s">
        <v>32</v>
      </c>
      <c r="D22" s="20" t="s">
        <v>35</v>
      </c>
      <c r="E22" s="44" t="s">
        <v>241</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241</v>
      </c>
      <c r="F24" s="20"/>
      <c r="G24" s="20"/>
      <c r="H24" s="25"/>
      <c r="I24" s="25"/>
    </row>
    <row r="25" spans="1:10" s="19" customFormat="1" ht="94.5" x14ac:dyDescent="0.25">
      <c r="A25" s="20">
        <v>8</v>
      </c>
      <c r="B25" s="47" t="s">
        <v>39</v>
      </c>
      <c r="C25" s="21" t="s">
        <v>22</v>
      </c>
      <c r="D25" s="20" t="s">
        <v>40</v>
      </c>
      <c r="E25" s="44" t="s">
        <v>156</v>
      </c>
      <c r="F25" s="20"/>
      <c r="G25" s="20"/>
      <c r="H25" s="25"/>
      <c r="I25" s="25"/>
    </row>
    <row r="26" spans="1:10" s="19" customFormat="1" ht="126" x14ac:dyDescent="0.25">
      <c r="A26" s="20">
        <v>9</v>
      </c>
      <c r="B26" s="47" t="s">
        <v>42</v>
      </c>
      <c r="C26" s="21" t="s">
        <v>22</v>
      </c>
      <c r="D26" s="20" t="s">
        <v>43</v>
      </c>
      <c r="E26" s="44" t="s">
        <v>156</v>
      </c>
      <c r="F26" s="20"/>
      <c r="G26" s="20"/>
      <c r="H26" s="25"/>
      <c r="I26" s="25"/>
    </row>
    <row r="27" spans="1:10" s="19" customFormat="1" ht="94.5" x14ac:dyDescent="0.25">
      <c r="A27" s="20">
        <v>10</v>
      </c>
      <c r="B27" s="47" t="s">
        <v>44</v>
      </c>
      <c r="C27" s="21" t="s">
        <v>32</v>
      </c>
      <c r="D27" s="20" t="s">
        <v>45</v>
      </c>
      <c r="E27" s="44" t="s">
        <v>156</v>
      </c>
      <c r="F27" s="20"/>
      <c r="G27" s="20"/>
      <c r="H27" s="25"/>
      <c r="I27" s="25"/>
    </row>
    <row r="28" spans="1:10" s="19" customFormat="1" ht="78.75" x14ac:dyDescent="0.25">
      <c r="A28" s="20">
        <v>11</v>
      </c>
      <c r="B28" s="47" t="s">
        <v>46</v>
      </c>
      <c r="C28" s="21" t="s">
        <v>32</v>
      </c>
      <c r="D28" s="20" t="s">
        <v>47</v>
      </c>
      <c r="E28" s="44" t="s">
        <v>156</v>
      </c>
      <c r="F28" s="20"/>
      <c r="G28" s="20"/>
      <c r="H28" s="25"/>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156</v>
      </c>
      <c r="F30" s="20"/>
      <c r="G30" s="20"/>
      <c r="H30" s="25"/>
      <c r="I30" s="25"/>
    </row>
    <row r="31" spans="1:10" s="19" customFormat="1" ht="141.75" x14ac:dyDescent="0.25">
      <c r="A31" s="20">
        <v>13</v>
      </c>
      <c r="B31" s="47" t="s">
        <v>51</v>
      </c>
      <c r="C31" s="21" t="s">
        <v>22</v>
      </c>
      <c r="D31" s="20" t="s">
        <v>52</v>
      </c>
      <c r="E31" s="44" t="s">
        <v>241</v>
      </c>
      <c r="F31" s="20"/>
      <c r="G31" s="20"/>
      <c r="H31" s="25"/>
      <c r="I31" s="25"/>
    </row>
    <row r="32" spans="1:10" s="19" customFormat="1" ht="94.5" x14ac:dyDescent="0.25">
      <c r="A32" s="20">
        <v>14</v>
      </c>
      <c r="B32" s="47" t="s">
        <v>53</v>
      </c>
      <c r="C32" s="21" t="s">
        <v>32</v>
      </c>
      <c r="D32" s="20" t="s">
        <v>54</v>
      </c>
      <c r="E32" s="44" t="s">
        <v>242</v>
      </c>
      <c r="F32" s="20" t="s">
        <v>251</v>
      </c>
      <c r="G32" s="20" t="s">
        <v>252</v>
      </c>
      <c r="H32" s="25" t="s">
        <v>253</v>
      </c>
      <c r="I32" s="25"/>
    </row>
    <row r="33" spans="1:9" s="19" customFormat="1" ht="94.5" x14ac:dyDescent="0.25">
      <c r="A33" s="20">
        <v>15</v>
      </c>
      <c r="B33" s="47" t="s">
        <v>55</v>
      </c>
      <c r="C33" s="21" t="s">
        <v>32</v>
      </c>
      <c r="D33" s="20" t="s">
        <v>56</v>
      </c>
      <c r="E33" s="44" t="s">
        <v>156</v>
      </c>
      <c r="F33" s="20"/>
      <c r="G33" s="20"/>
      <c r="H33" s="25"/>
      <c r="I33" s="25"/>
    </row>
    <row r="34" spans="1:9" s="19" customFormat="1" ht="78.75" x14ac:dyDescent="0.25">
      <c r="A34" s="20">
        <v>16</v>
      </c>
      <c r="B34" s="47" t="s">
        <v>57</v>
      </c>
      <c r="C34" s="21" t="s">
        <v>32</v>
      </c>
      <c r="D34" s="20" t="s">
        <v>58</v>
      </c>
      <c r="E34" s="44" t="s">
        <v>241</v>
      </c>
      <c r="F34" s="20"/>
      <c r="G34" s="20"/>
      <c r="H34" s="25"/>
      <c r="I34" s="25"/>
    </row>
    <row r="35" spans="1:9" s="19" customFormat="1" ht="78.75" x14ac:dyDescent="0.25">
      <c r="A35" s="20">
        <v>17</v>
      </c>
      <c r="B35" s="47" t="s">
        <v>59</v>
      </c>
      <c r="C35" s="21" t="s">
        <v>32</v>
      </c>
      <c r="D35" s="20" t="s">
        <v>60</v>
      </c>
      <c r="E35" s="44" t="s">
        <v>156</v>
      </c>
      <c r="F35" s="44"/>
      <c r="G35" s="44"/>
      <c r="H35" s="44"/>
      <c r="I35" s="44"/>
    </row>
    <row r="36" spans="1:9" s="19" customFormat="1" ht="63" x14ac:dyDescent="0.25">
      <c r="A36" s="20">
        <v>18</v>
      </c>
      <c r="B36" s="47" t="s">
        <v>61</v>
      </c>
      <c r="C36" s="21" t="s">
        <v>32</v>
      </c>
      <c r="D36" s="20" t="s">
        <v>62</v>
      </c>
      <c r="E36" s="44" t="s">
        <v>156</v>
      </c>
      <c r="F36" s="20"/>
      <c r="G36" s="20"/>
      <c r="H36" s="25"/>
      <c r="I36" s="25"/>
    </row>
    <row r="37" spans="1:9" s="19" customFormat="1" ht="267.75" x14ac:dyDescent="0.25">
      <c r="A37" s="20">
        <v>19</v>
      </c>
      <c r="B37" s="47" t="s">
        <v>63</v>
      </c>
      <c r="C37" s="21" t="s">
        <v>41</v>
      </c>
      <c r="D37" s="20" t="s">
        <v>64</v>
      </c>
      <c r="E37" s="44" t="s">
        <v>156</v>
      </c>
      <c r="F37" s="20"/>
      <c r="G37" s="20"/>
      <c r="H37" s="25"/>
      <c r="I37" s="25"/>
    </row>
    <row r="38" spans="1:9" s="19" customFormat="1" ht="126" x14ac:dyDescent="0.25">
      <c r="A38" s="20">
        <v>20</v>
      </c>
      <c r="B38" s="47" t="s">
        <v>65</v>
      </c>
      <c r="C38" s="21" t="s">
        <v>32</v>
      </c>
      <c r="D38" s="20" t="s">
        <v>66</v>
      </c>
      <c r="E38" s="44" t="s">
        <v>241</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242</v>
      </c>
      <c r="F40" s="25" t="s">
        <v>314</v>
      </c>
      <c r="G40" s="25" t="s">
        <v>315</v>
      </c>
      <c r="H40" s="25" t="s">
        <v>316</v>
      </c>
      <c r="I40" s="25"/>
    </row>
    <row r="41" spans="1:9" s="19" customFormat="1" ht="110.25" x14ac:dyDescent="0.25">
      <c r="A41" s="20">
        <v>22</v>
      </c>
      <c r="B41" s="47" t="s">
        <v>70</v>
      </c>
      <c r="C41" s="21" t="s">
        <v>22</v>
      </c>
      <c r="D41" s="20" t="s">
        <v>71</v>
      </c>
      <c r="E41" s="44" t="s">
        <v>156</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241</v>
      </c>
      <c r="F43" s="20"/>
      <c r="G43" s="20"/>
      <c r="H43" s="25"/>
      <c r="I43" s="25"/>
    </row>
    <row r="44" spans="1:9" s="19" customFormat="1" ht="315" x14ac:dyDescent="0.25">
      <c r="A44" s="20">
        <v>24</v>
      </c>
      <c r="B44" s="47" t="s">
        <v>75</v>
      </c>
      <c r="C44" s="21" t="s">
        <v>22</v>
      </c>
      <c r="D44" s="20" t="s">
        <v>76</v>
      </c>
      <c r="E44" s="44" t="s">
        <v>241</v>
      </c>
      <c r="F44" s="20"/>
      <c r="G44" s="20"/>
      <c r="H44" s="25"/>
      <c r="I44" s="25"/>
    </row>
    <row r="45" spans="1:9" s="19" customFormat="1" ht="126" x14ac:dyDescent="0.25">
      <c r="A45" s="20">
        <v>25</v>
      </c>
      <c r="B45" s="47" t="s">
        <v>77</v>
      </c>
      <c r="C45" s="21" t="s">
        <v>22</v>
      </c>
      <c r="D45" s="20" t="s">
        <v>78</v>
      </c>
      <c r="E45" s="44" t="s">
        <v>242</v>
      </c>
      <c r="F45" s="20" t="s">
        <v>254</v>
      </c>
      <c r="G45" s="20" t="s">
        <v>255</v>
      </c>
      <c r="H45" s="25" t="s">
        <v>256</v>
      </c>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241</v>
      </c>
      <c r="F47" s="20"/>
      <c r="G47" s="20"/>
      <c r="H47" s="25"/>
      <c r="I47" s="25"/>
    </row>
    <row r="48" spans="1:9" s="19" customFormat="1" ht="24.75" customHeight="1" x14ac:dyDescent="0.25">
      <c r="A48" s="22"/>
      <c r="B48" s="46" t="s">
        <v>82</v>
      </c>
      <c r="C48" s="27"/>
      <c r="D48" s="28"/>
      <c r="E48" s="28"/>
      <c r="F48" s="28"/>
      <c r="G48" s="28"/>
      <c r="H48" s="28"/>
      <c r="I48" s="28"/>
    </row>
    <row r="49" spans="1:9" s="19" customFormat="1" ht="94.5" x14ac:dyDescent="0.25">
      <c r="A49" s="20">
        <v>27</v>
      </c>
      <c r="B49" s="47" t="s">
        <v>83</v>
      </c>
      <c r="C49" s="21" t="s">
        <v>22</v>
      </c>
      <c r="D49" s="20" t="s">
        <v>84</v>
      </c>
      <c r="E49" s="44" t="s">
        <v>242</v>
      </c>
      <c r="F49" s="20" t="s">
        <v>243</v>
      </c>
      <c r="G49" s="20" t="s">
        <v>191</v>
      </c>
      <c r="H49" s="25" t="s">
        <v>244</v>
      </c>
      <c r="I49" s="25"/>
    </row>
    <row r="50" spans="1:9" s="19" customFormat="1" ht="31.5" x14ac:dyDescent="0.25">
      <c r="A50" s="20">
        <v>28</v>
      </c>
      <c r="B50" s="47" t="s">
        <v>85</v>
      </c>
      <c r="C50" s="21" t="s">
        <v>22</v>
      </c>
      <c r="D50" s="20" t="s">
        <v>86</v>
      </c>
      <c r="E50" s="44" t="s">
        <v>156</v>
      </c>
      <c r="F50" s="20"/>
      <c r="G50" s="20" t="s">
        <v>151</v>
      </c>
      <c r="H50" s="20"/>
      <c r="I50" s="25"/>
    </row>
    <row r="51" spans="1:9" s="19" customFormat="1" ht="126" x14ac:dyDescent="0.25">
      <c r="A51" s="20">
        <v>29</v>
      </c>
      <c r="B51" s="47" t="s">
        <v>87</v>
      </c>
      <c r="C51" s="21" t="s">
        <v>22</v>
      </c>
      <c r="D51" s="20" t="s">
        <v>88</v>
      </c>
      <c r="E51" s="44" t="s">
        <v>241</v>
      </c>
      <c r="I51" s="25"/>
    </row>
    <row r="52" spans="1:9" s="19" customFormat="1" ht="94.5" x14ac:dyDescent="0.25">
      <c r="A52" s="20">
        <v>30</v>
      </c>
      <c r="B52" s="47" t="s">
        <v>89</v>
      </c>
      <c r="C52" s="21" t="s">
        <v>22</v>
      </c>
      <c r="D52" s="20" t="s">
        <v>90</v>
      </c>
      <c r="E52" s="44" t="s">
        <v>156</v>
      </c>
      <c r="F52" s="20"/>
      <c r="G52" s="20"/>
      <c r="H52" s="25"/>
      <c r="I52" s="25"/>
    </row>
    <row r="53" spans="1:9" s="19" customFormat="1" ht="94.5" x14ac:dyDescent="0.25">
      <c r="A53" s="20">
        <v>31</v>
      </c>
      <c r="B53" s="47" t="s">
        <v>91</v>
      </c>
      <c r="C53" s="21" t="s">
        <v>32</v>
      </c>
      <c r="D53" s="20" t="s">
        <v>92</v>
      </c>
      <c r="E53" s="44" t="s">
        <v>156</v>
      </c>
      <c r="F53" s="20"/>
      <c r="G53" s="20"/>
      <c r="H53" s="25"/>
      <c r="I53" s="25"/>
    </row>
    <row r="54" spans="1:9" s="19" customFormat="1" ht="31.5" x14ac:dyDescent="0.25">
      <c r="A54" s="20">
        <v>32</v>
      </c>
      <c r="B54" s="47" t="s">
        <v>93</v>
      </c>
      <c r="C54" s="21" t="s">
        <v>32</v>
      </c>
      <c r="D54" s="20" t="s">
        <v>94</v>
      </c>
      <c r="E54" s="44" t="s">
        <v>156</v>
      </c>
      <c r="F54" s="20"/>
      <c r="G54" s="20"/>
      <c r="H54" s="25"/>
      <c r="I54" s="25"/>
    </row>
    <row r="55" spans="1:9" s="19" customFormat="1" ht="63" x14ac:dyDescent="0.25">
      <c r="A55" s="20">
        <v>33</v>
      </c>
      <c r="B55" s="47" t="s">
        <v>95</v>
      </c>
      <c r="C55" s="21" t="s">
        <v>32</v>
      </c>
      <c r="D55" s="20" t="s">
        <v>96</v>
      </c>
      <c r="E55" s="44" t="s">
        <v>156</v>
      </c>
      <c r="F55" s="20"/>
      <c r="G55" s="50"/>
      <c r="H55" s="25"/>
      <c r="I55" s="25"/>
    </row>
    <row r="56" spans="1:9" s="19" customFormat="1" ht="78.75" x14ac:dyDescent="0.25">
      <c r="A56" s="20">
        <v>34</v>
      </c>
      <c r="B56" s="47" t="s">
        <v>97</v>
      </c>
      <c r="C56" s="21" t="s">
        <v>32</v>
      </c>
      <c r="D56" s="20" t="s">
        <v>98</v>
      </c>
      <c r="E56" s="44" t="s">
        <v>156</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241</v>
      </c>
      <c r="F58" s="20"/>
      <c r="G58" s="20"/>
      <c r="H58" s="25"/>
      <c r="I58" s="25"/>
    </row>
    <row r="59" spans="1:9" s="19" customFormat="1" ht="220.5" x14ac:dyDescent="0.25">
      <c r="A59" s="20">
        <v>36</v>
      </c>
      <c r="B59" s="47" t="s">
        <v>102</v>
      </c>
      <c r="C59" s="21" t="s">
        <v>22</v>
      </c>
      <c r="D59" s="20" t="s">
        <v>103</v>
      </c>
      <c r="E59" s="44" t="s">
        <v>241</v>
      </c>
      <c r="F59" s="20"/>
      <c r="G59" s="20"/>
      <c r="H59" s="25"/>
      <c r="I59" s="25"/>
    </row>
    <row r="60" spans="1:9" s="19" customFormat="1" ht="78.75" x14ac:dyDescent="0.25">
      <c r="A60" s="20">
        <v>37</v>
      </c>
      <c r="B60" s="47" t="s">
        <v>104</v>
      </c>
      <c r="C60" s="21" t="s">
        <v>22</v>
      </c>
      <c r="D60" s="20" t="s">
        <v>105</v>
      </c>
      <c r="E60" s="44" t="s">
        <v>156</v>
      </c>
      <c r="F60" s="20"/>
      <c r="G60" s="20"/>
      <c r="H60" s="25"/>
      <c r="I60" s="25"/>
    </row>
    <row r="61" spans="1:9" s="19" customFormat="1" ht="110.25" x14ac:dyDescent="0.25">
      <c r="A61" s="20">
        <v>38</v>
      </c>
      <c r="B61" s="47" t="s">
        <v>106</v>
      </c>
      <c r="C61" s="21" t="s">
        <v>22</v>
      </c>
      <c r="D61" s="20" t="s">
        <v>147</v>
      </c>
      <c r="E61" s="44" t="s">
        <v>156</v>
      </c>
      <c r="F61" s="20"/>
      <c r="G61" s="20"/>
      <c r="H61" s="25"/>
      <c r="I61" s="25"/>
    </row>
    <row r="62" spans="1:9" s="19" customFormat="1" ht="141.75" x14ac:dyDescent="0.25">
      <c r="A62" s="20">
        <v>39</v>
      </c>
      <c r="B62" s="47" t="s">
        <v>107</v>
      </c>
      <c r="C62" s="21" t="s">
        <v>32</v>
      </c>
      <c r="D62" s="20" t="s">
        <v>108</v>
      </c>
      <c r="E62" s="44" t="s">
        <v>241</v>
      </c>
      <c r="F62" s="20"/>
      <c r="G62" s="20"/>
      <c r="H62" s="25"/>
      <c r="I62" s="25"/>
    </row>
    <row r="63" spans="1:9" s="19" customFormat="1" ht="47.25" x14ac:dyDescent="0.25">
      <c r="A63" s="25">
        <v>40</v>
      </c>
      <c r="B63" s="47" t="s">
        <v>109</v>
      </c>
      <c r="C63" s="21" t="s">
        <v>32</v>
      </c>
      <c r="D63" s="20" t="s">
        <v>110</v>
      </c>
      <c r="E63" s="44" t="s">
        <v>156</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156</v>
      </c>
      <c r="F65" s="20"/>
      <c r="G65" s="20"/>
      <c r="H65" s="25"/>
      <c r="I65" s="25"/>
    </row>
    <row r="66" spans="1:9" s="19" customFormat="1" ht="78.75" x14ac:dyDescent="0.25">
      <c r="A66" s="20">
        <v>42</v>
      </c>
      <c r="B66" s="47" t="s">
        <v>114</v>
      </c>
      <c r="C66" s="21" t="s">
        <v>32</v>
      </c>
      <c r="D66" s="20" t="s">
        <v>115</v>
      </c>
      <c r="E66" s="44" t="s">
        <v>241</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241</v>
      </c>
      <c r="F68" s="20"/>
      <c r="G68" s="20"/>
      <c r="H68" s="25"/>
      <c r="I68" s="25"/>
    </row>
    <row r="69" spans="1:9" s="19" customFormat="1" ht="110.25" x14ac:dyDescent="0.25">
      <c r="A69" s="20">
        <v>44</v>
      </c>
      <c r="B69" s="47" t="s">
        <v>119</v>
      </c>
      <c r="C69" s="21" t="s">
        <v>22</v>
      </c>
      <c r="D69" s="20" t="s">
        <v>120</v>
      </c>
      <c r="E69" s="44" t="s">
        <v>241</v>
      </c>
      <c r="F69" s="20"/>
      <c r="H69" s="20"/>
      <c r="I69" s="20"/>
    </row>
    <row r="70" spans="1:9" s="19" customFormat="1" ht="110.25" x14ac:dyDescent="0.25">
      <c r="A70" s="20">
        <v>45</v>
      </c>
      <c r="B70" s="47" t="s">
        <v>121</v>
      </c>
      <c r="C70" s="21" t="s">
        <v>32</v>
      </c>
      <c r="D70" s="20" t="s">
        <v>122</v>
      </c>
      <c r="E70" s="44" t="s">
        <v>156</v>
      </c>
      <c r="F70" s="20"/>
      <c r="G70" s="20"/>
      <c r="H70" s="25"/>
      <c r="I70" s="25"/>
    </row>
    <row r="71" spans="1:9" s="19" customFormat="1" ht="63" x14ac:dyDescent="0.25">
      <c r="A71" s="20">
        <v>46</v>
      </c>
      <c r="B71" s="47" t="s">
        <v>123</v>
      </c>
      <c r="C71" s="21" t="s">
        <v>32</v>
      </c>
      <c r="D71" s="20" t="s">
        <v>124</v>
      </c>
      <c r="E71" s="44" t="s">
        <v>156</v>
      </c>
      <c r="F71" s="20"/>
      <c r="G71" s="20"/>
      <c r="H71" s="25"/>
      <c r="I71" s="25"/>
    </row>
    <row r="72" spans="1:9" s="19" customFormat="1" ht="220.5" x14ac:dyDescent="0.25">
      <c r="A72" s="30">
        <v>47</v>
      </c>
      <c r="B72" s="47" t="s">
        <v>125</v>
      </c>
      <c r="C72" s="21" t="s">
        <v>22</v>
      </c>
      <c r="D72" s="20" t="s">
        <v>126</v>
      </c>
      <c r="E72" s="44" t="s">
        <v>156</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241</v>
      </c>
      <c r="F74" s="20"/>
      <c r="G74" s="20"/>
      <c r="H74" s="25"/>
      <c r="I74" s="25"/>
    </row>
    <row r="75" spans="1:9" s="19" customFormat="1" ht="47.25" x14ac:dyDescent="0.25">
      <c r="A75" s="20">
        <v>49</v>
      </c>
      <c r="B75" s="47" t="s">
        <v>130</v>
      </c>
      <c r="C75" s="21" t="s">
        <v>22</v>
      </c>
      <c r="D75" s="20" t="s">
        <v>131</v>
      </c>
      <c r="E75" s="44" t="s">
        <v>241</v>
      </c>
      <c r="G75" s="20"/>
      <c r="H75" s="25"/>
      <c r="I75" s="25"/>
    </row>
    <row r="76" spans="1:9" s="19" customFormat="1" ht="126" x14ac:dyDescent="0.25">
      <c r="A76" s="20">
        <v>50</v>
      </c>
      <c r="B76" s="47" t="s">
        <v>132</v>
      </c>
      <c r="C76" s="21" t="s">
        <v>32</v>
      </c>
      <c r="D76" s="20" t="s">
        <v>133</v>
      </c>
      <c r="E76" s="44" t="s">
        <v>241</v>
      </c>
      <c r="F76" s="20"/>
      <c r="G76" s="20"/>
      <c r="H76" s="25"/>
      <c r="I76" s="25"/>
    </row>
    <row r="77" spans="1:9" s="19" customFormat="1" ht="173.25" x14ac:dyDescent="0.25">
      <c r="A77" s="20">
        <v>51</v>
      </c>
      <c r="B77" s="47" t="s">
        <v>134</v>
      </c>
      <c r="C77" s="21" t="s">
        <v>32</v>
      </c>
      <c r="D77" s="20" t="s">
        <v>135</v>
      </c>
      <c r="E77" s="44" t="s">
        <v>241</v>
      </c>
      <c r="F77" s="20"/>
      <c r="G77" s="20"/>
      <c r="H77" s="25"/>
      <c r="I77" s="25"/>
    </row>
    <row r="78" spans="1:9" s="19" customFormat="1" ht="126" x14ac:dyDescent="0.25">
      <c r="A78" s="34">
        <v>52</v>
      </c>
      <c r="B78" s="47" t="s">
        <v>136</v>
      </c>
      <c r="C78" s="35" t="s">
        <v>22</v>
      </c>
      <c r="D78" s="36" t="s">
        <v>137</v>
      </c>
      <c r="E78" s="44" t="s">
        <v>241</v>
      </c>
      <c r="F78" s="36"/>
      <c r="G78" s="36"/>
      <c r="H78" s="36"/>
      <c r="I78" s="36"/>
    </row>
    <row r="79" spans="1:9" s="19" customFormat="1" ht="346.5" x14ac:dyDescent="0.25">
      <c r="A79" s="34">
        <v>53</v>
      </c>
      <c r="B79" s="47" t="s">
        <v>138</v>
      </c>
      <c r="C79" s="35" t="s">
        <v>32</v>
      </c>
      <c r="D79" s="36" t="s">
        <v>139</v>
      </c>
      <c r="E79" s="44" t="s">
        <v>241</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156</v>
      </c>
      <c r="F81" s="20"/>
      <c r="G81" s="20"/>
      <c r="H81" s="25"/>
      <c r="I81" s="25"/>
    </row>
    <row r="82" spans="1:9" s="19" customFormat="1" ht="236.25" x14ac:dyDescent="0.25">
      <c r="A82" s="20">
        <v>55</v>
      </c>
      <c r="B82" s="47" t="s">
        <v>143</v>
      </c>
      <c r="C82" s="40" t="s">
        <v>22</v>
      </c>
      <c r="D82" s="41" t="s">
        <v>144</v>
      </c>
      <c r="E82" s="44" t="s">
        <v>242</v>
      </c>
      <c r="F82" s="20" t="s">
        <v>245</v>
      </c>
      <c r="G82" s="20" t="s">
        <v>246</v>
      </c>
      <c r="H82" s="25" t="s">
        <v>247</v>
      </c>
      <c r="I82" s="25"/>
    </row>
    <row r="83" spans="1:9" s="19" customFormat="1" ht="141.75" x14ac:dyDescent="0.25">
      <c r="A83" s="20">
        <v>56</v>
      </c>
      <c r="B83" s="47" t="s">
        <v>145</v>
      </c>
      <c r="C83" s="21" t="s">
        <v>32</v>
      </c>
      <c r="D83" s="20" t="s">
        <v>146</v>
      </c>
      <c r="E83" s="44" t="s">
        <v>241</v>
      </c>
      <c r="F83" s="20"/>
      <c r="G83" s="20"/>
      <c r="H83" s="25"/>
      <c r="I83" s="25"/>
    </row>
    <row r="84" spans="1:9" s="19" customFormat="1" ht="15.75" x14ac:dyDescent="0.25">
      <c r="C84" s="42"/>
    </row>
    <row r="85" spans="1:9" s="19" customFormat="1" ht="15.75" x14ac:dyDescent="0.25">
      <c r="C85" s="42"/>
    </row>
    <row r="86" spans="1:9" s="19" customFormat="1" ht="15.75" x14ac:dyDescent="0.25">
      <c r="C86" s="42"/>
    </row>
    <row r="87" spans="1:9" ht="15" x14ac:dyDescent="0.25">
      <c r="I87" s="12"/>
    </row>
  </sheetData>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263" priority="8">
      <formula>E1="Not Applicable"</formula>
    </cfRule>
    <cfRule type="expression" dxfId="262" priority="9">
      <formula>E1="Fail"</formula>
    </cfRule>
    <cfRule type="expression" dxfId="261" priority="10">
      <formula>E1="Pass"</formula>
    </cfRule>
  </conditionalFormatting>
  <conditionalFormatting sqref="E13:E1048576">
    <cfRule type="expression" dxfId="260" priority="12">
      <formula>E13="Not Applicable"</formula>
    </cfRule>
    <cfRule type="expression" dxfId="259" priority="13">
      <formula>E13="Fail"</formula>
    </cfRule>
    <cfRule type="expression" dxfId="258" priority="14">
      <formula>E13="Pass"</formula>
    </cfRule>
  </conditionalFormatting>
  <conditionalFormatting sqref="F1:G2 G3 F4:G10 I14:I15 F17:I34 F36:I39 F41:I50 F52:H68 I52:I87 F70:H1048576">
    <cfRule type="expression" dxfId="257" priority="7">
      <formula>AND($E1="Fail", COUNTA($F1:$H1)&gt;0)</formula>
    </cfRule>
  </conditionalFormatting>
  <conditionalFormatting sqref="F35:I35">
    <cfRule type="expression" dxfId="256" priority="4">
      <formula>F35="Not Applicable"</formula>
    </cfRule>
    <cfRule type="expression" dxfId="255" priority="5">
      <formula>F35="Fail"</formula>
    </cfRule>
    <cfRule type="expression" dxfId="254" priority="6">
      <formula>F35="Pass"</formula>
    </cfRule>
  </conditionalFormatting>
  <conditionalFormatting sqref="F40:I40">
    <cfRule type="expression" dxfId="253" priority="16">
      <formula>AND($E40="Fail", COUNTA(#REF!)&gt;0)</formula>
    </cfRule>
  </conditionalFormatting>
  <conditionalFormatting sqref="H1:H11 F13:H15 F69 H69">
    <cfRule type="expression" dxfId="252" priority="11">
      <formula>AND($E1="Fail", COUNTA($F1:$H1)&gt;0)</formula>
    </cfRule>
  </conditionalFormatting>
  <conditionalFormatting sqref="I51">
    <cfRule type="expression" dxfId="251" priority="15">
      <formula>AND($E51="Fail", COUNTA($F40:$H40)&gt;0)</formula>
    </cfRule>
  </conditionalFormatting>
  <conditionalFormatting sqref="F16:G16">
    <cfRule type="expression" dxfId="250" priority="3">
      <formula>AND($E16="Fail", COUNTA($F16:$H16)&gt;0)</formula>
    </cfRule>
  </conditionalFormatting>
  <conditionalFormatting sqref="H16">
    <cfRule type="expression" dxfId="248" priority="1">
      <formula>AND($E16="Fail", COUNTA($F16:$H16)&gt;0)</formula>
    </cfRule>
  </conditionalFormatting>
  <hyperlinks>
    <hyperlink ref="B16" r:id="rId1" location="non-text-content" xr:uid="{5ABE7D48-1427-41DD-BF1C-BDFB2D6250AA}"/>
    <hyperlink ref="B24" r:id="rId2" location="info-and-relationships" xr:uid="{36E37AB0-A2F7-4289-8D98-DE89EAD6DD9C}"/>
    <hyperlink ref="B18" r:id="rId3" location="audio-only-and-video-only-prerecorded" xr:uid="{E84DC4E6-4BA2-4F2A-86C5-FA35B5B406F0}"/>
    <hyperlink ref="B19" r:id="rId4" location="captions-prerecorded" xr:uid="{3624BBAB-77A0-4081-8F64-A6E6F6E3833F}"/>
    <hyperlink ref="B20" r:id="rId5" location="audio-description-or-media-alternative-prerecorded" xr:uid="{970F021D-86E3-42F2-ACA8-B262281A493B}"/>
    <hyperlink ref="B21" r:id="rId6" location="captions-live" xr:uid="{CB7EF9E1-3B96-46D1-9A57-6046EA2DDF2B}"/>
    <hyperlink ref="B22" r:id="rId7" location="audio-description-prerecorded" xr:uid="{7ADBEE79-3268-4B6F-B15F-5058267EF87C}"/>
    <hyperlink ref="B25" r:id="rId8" location="meaningful-sequence" xr:uid="{5A352985-C8AE-4453-98D2-FD60889696D8}"/>
    <hyperlink ref="B26" r:id="rId9" location="sensory-characteristics" xr:uid="{91FCBD51-1FE8-46E1-A9DE-833DE84A44A4}"/>
    <hyperlink ref="B27" r:id="rId10" location="orientation" xr:uid="{FAD80F25-E813-4225-B425-09CC3CBCD621}"/>
    <hyperlink ref="B28" r:id="rId11" location="identify-input-purpose" xr:uid="{02C7AA15-DA65-47E1-BD5B-11C2560CCF17}"/>
    <hyperlink ref="B30" r:id="rId12" location="use-of-color" xr:uid="{20BAA62E-76EA-414F-A0AF-137E99AE3904}"/>
    <hyperlink ref="B31" r:id="rId13" location="audio-control" xr:uid="{E90875B8-267C-4A22-903B-B82D36E091FD}"/>
    <hyperlink ref="B32" r:id="rId14" location="contrast-minimum" xr:uid="{D50FB30B-BE17-4E23-AA5C-EB57B32DFF62}"/>
    <hyperlink ref="B33" r:id="rId15" location="resize-text" xr:uid="{3EF276CE-D510-46DB-A040-33889CF0F99A}"/>
    <hyperlink ref="B34" r:id="rId16" location="images-of-text" xr:uid="{8B1DF355-A24A-4F2F-9E04-7C1B1A150FC2}"/>
    <hyperlink ref="B35" r:id="rId17" location="reflow" xr:uid="{DAB75613-C999-4208-BA87-8674CDCFBC15}"/>
    <hyperlink ref="B36" r:id="rId18" location="non-text-contrast" xr:uid="{7DF27914-73B6-4DD8-9415-C0F7F6D92D80}"/>
    <hyperlink ref="B37" r:id="rId19" location="text-spacing" xr:uid="{604AC84C-FA3D-417E-9C42-9AF9D81B029F}"/>
    <hyperlink ref="B38" r:id="rId20" location="content-on-hover-or-focus" xr:uid="{FC3A1BA2-27DE-49DC-8685-A28E747F174D}"/>
    <hyperlink ref="B40" r:id="rId21" location="keyboard" xr:uid="{99C35884-4E22-49C7-BB16-DC24270C61DA}"/>
    <hyperlink ref="B41" r:id="rId22" location="no-keyboard-trap" xr:uid="{EB38969D-6D35-49EE-A7A3-F6726F2F4221}"/>
    <hyperlink ref="B43" r:id="rId23" location="character-key-shortcuts" xr:uid="{4A6D3335-C5F8-4D55-8EF3-21AF680FB8D0}"/>
    <hyperlink ref="B44" r:id="rId24" location="timing-adjustable" xr:uid="{8FC402E1-EF29-44C5-A386-4A707C5C2441}"/>
    <hyperlink ref="B45" r:id="rId25" location="pause-stop-hide" xr:uid="{B5A9F526-4846-4544-9BBF-25AC4E5A399D}"/>
    <hyperlink ref="B47" r:id="rId26" location="three-flashes-or-below-threshold" xr:uid="{C9553E9F-1949-4D1A-986C-B623B1D64573}"/>
    <hyperlink ref="B49" r:id="rId27" location="bypass-blocks" xr:uid="{8D2BF5C7-D84D-4569-9E9B-ECF219F5D909}"/>
    <hyperlink ref="B50" r:id="rId28" location="page-titled" xr:uid="{902A909D-45B1-4CF8-8D75-114CD64D211C}"/>
    <hyperlink ref="B51" r:id="rId29" location="focus-order" xr:uid="{53E3E7DE-EBAA-4B5F-90FB-3A6DA60BA7DE}"/>
    <hyperlink ref="B52" r:id="rId30" location="link-purpose-in-context" xr:uid="{887B30CD-98A1-41F4-B899-ED6D914F4A5B}"/>
    <hyperlink ref="B53" r:id="rId31" location="multiple-ways" xr:uid="{B1D7BC87-0D87-42A7-931E-93B12603D2BE}"/>
    <hyperlink ref="B54" r:id="rId32" location="headings-and-labels" xr:uid="{05DBC2B1-1A95-4485-A7FE-8D2BB68802AB}"/>
    <hyperlink ref="B55" r:id="rId33" location="focus-visible" xr:uid="{CC456FFD-B6FD-4DD3-9A55-23DA25199E66}"/>
    <hyperlink ref="B56" r:id="rId34" location="focus-not-obscured-minimum" xr:uid="{1AC6356E-44FF-4D22-A7E4-ADF7F4A856BB}"/>
    <hyperlink ref="B58" r:id="rId35" location="pointer-gestures" xr:uid="{3D023582-ED66-44B5-ACA0-CDA8AF3316DA}"/>
    <hyperlink ref="B59" r:id="rId36" location="pointer-cancellation" xr:uid="{2D952481-C556-4430-A6F9-3C19828DB3F8}"/>
    <hyperlink ref="B60" r:id="rId37" location="label-in-name" xr:uid="{6C677DBD-24AA-4522-955F-7F96BE3A222D}"/>
    <hyperlink ref="B61" r:id="rId38" location="motion-actuation" xr:uid="{A53EC5A0-E84F-4EA2-8DB2-986A5008E330}"/>
    <hyperlink ref="B62" r:id="rId39" location="dragging-movements" xr:uid="{3748503B-683A-4211-BC29-CB15923D9BDB}"/>
    <hyperlink ref="B63" r:id="rId40" location="target-size-minimum" xr:uid="{6E6B8B25-4250-4225-B799-DB26D52BE6F6}"/>
    <hyperlink ref="B65" r:id="rId41" location="language-of-page" xr:uid="{60D48BCC-3DF5-49AF-B328-3E134972C45F}"/>
    <hyperlink ref="B66" r:id="rId42" location="language-of-parts" xr:uid="{7E92B709-53AC-406B-8637-8034A2590690}"/>
    <hyperlink ref="B68" r:id="rId43" location="on-focus" xr:uid="{1254D39E-AC5B-4C78-BC67-BF5BE082F498}"/>
    <hyperlink ref="B69" r:id="rId44" location="on-input" xr:uid="{9C5BBA57-D9D6-415A-8542-84F73644DFFF}"/>
    <hyperlink ref="B70" r:id="rId45" location="consistent-navigation" xr:uid="{9635C163-7FB7-4A19-B308-DB2BF0653F2F}"/>
    <hyperlink ref="B71" r:id="rId46" location="consistent-identification" xr:uid="{794F3B04-50C2-4ADC-868B-BB10DF466068}"/>
    <hyperlink ref="B72" r:id="rId47" location="consistent-help" xr:uid="{4DCB26E9-C07C-4C55-A342-2ECEC35A1D9B}"/>
    <hyperlink ref="B74" r:id="rId48" location="error-identification" xr:uid="{187CEF27-278E-4072-AC1A-C36B19B41136}"/>
    <hyperlink ref="B75" r:id="rId49" location="labels-or-instructions" xr:uid="{597ACE7E-E10C-480E-9439-5F60B95BEBBA}"/>
    <hyperlink ref="B76" r:id="rId50" location="error-suggestion" xr:uid="{941913CB-5386-45B0-A532-62D4568F07F7}"/>
    <hyperlink ref="B77" r:id="rId51" location="error-prevention-legal-financial-data" xr:uid="{D96800FC-7B2F-413B-8571-A15289873F81}"/>
    <hyperlink ref="B78" r:id="rId52" location="redundant-entry" xr:uid="{E955B946-713B-4DA0-87B1-CD184716E172}"/>
    <hyperlink ref="B79" r:id="rId53" location="accessible-authentication-minimum" xr:uid="{635B8ECB-B205-4089-9AEA-1106414483C0}"/>
    <hyperlink ref="B81" r:id="rId54" location="parsing" xr:uid="{C686E5A2-8FB6-4D28-8024-856685481B57}"/>
    <hyperlink ref="B82" r:id="rId55" location="name-role-value" xr:uid="{2F0D6FDE-7532-4417-B6A4-0D8610CD99AC}"/>
    <hyperlink ref="B83" r:id="rId56" location="status-messages" xr:uid="{00DB8AEF-3035-47A5-AAAE-569052B639AB}"/>
    <hyperlink ref="E11" r:id="rId57" xr:uid="{5B561B75-D5BC-4621-9810-F6E34EAD21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57B2-9FF5-4B6C-8A8E-85163823A75F}">
  <dimension ref="A1:O87"/>
  <sheetViews>
    <sheetView topLeftCell="B1" workbookViewId="0">
      <selection activeCell="F16" sqref="F16"/>
    </sheetView>
  </sheetViews>
  <sheetFormatPr defaultColWidth="0" defaultRowHeight="0"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257</v>
      </c>
    </row>
    <row r="3" spans="1:10" s="4" customFormat="1" ht="21.95" customHeight="1" x14ac:dyDescent="0.25">
      <c r="A3" s="53" t="s">
        <v>2</v>
      </c>
      <c r="B3" s="54"/>
      <c r="C3" s="5" t="s">
        <v>240</v>
      </c>
      <c r="F3" s="5"/>
    </row>
    <row r="4" spans="1:10" s="4" customFormat="1" ht="21.95" customHeight="1" x14ac:dyDescent="0.25">
      <c r="A4" s="53" t="s">
        <v>3</v>
      </c>
      <c r="B4" s="54"/>
    </row>
    <row r="5" spans="1:10" s="4" customFormat="1" ht="21.95" customHeight="1" x14ac:dyDescent="0.25">
      <c r="A5" s="53" t="s">
        <v>4</v>
      </c>
      <c r="B5" s="61"/>
      <c r="C5" s="6">
        <v>46123</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COUNTA(E17:E83)</f>
        <v>Total Number of Test: 55</v>
      </c>
      <c r="E10" s="7" t="str">
        <f>"Pass: " &amp; COUNTIF(E17:E83, "Pass")</f>
        <v>Pass: 25</v>
      </c>
      <c r="F10" s="8" t="str">
        <f>"Fail: " &amp; COUNTIF(E17:E83, "Fail")</f>
        <v>Fail: 9</v>
      </c>
      <c r="G10" s="9" t="str">
        <f>"Not applicable: " &amp; COUNTIF(E17:E83, "Not applicable")</f>
        <v>Not applicable: 21</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141.75" x14ac:dyDescent="0.25">
      <c r="A16" s="20">
        <v>1</v>
      </c>
      <c r="B16" s="47" t="s">
        <v>21</v>
      </c>
      <c r="C16" s="21" t="s">
        <v>22</v>
      </c>
      <c r="D16" s="20" t="s">
        <v>23</v>
      </c>
      <c r="E16" s="44" t="s">
        <v>155</v>
      </c>
      <c r="F16" s="20" t="s">
        <v>311</v>
      </c>
      <c r="G16" s="20" t="s">
        <v>312</v>
      </c>
      <c r="H16" s="25" t="s">
        <v>313</v>
      </c>
      <c r="J16" s="12"/>
    </row>
    <row r="17" spans="1:10" s="19" customFormat="1" ht="23.25" customHeight="1" x14ac:dyDescent="0.25">
      <c r="A17" s="22"/>
      <c r="B17" s="46" t="s">
        <v>24</v>
      </c>
      <c r="C17" s="24"/>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260</v>
      </c>
      <c r="G24" s="20" t="s">
        <v>159</v>
      </c>
      <c r="H24" s="25" t="s">
        <v>261</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262</v>
      </c>
      <c r="G28" s="20" t="s">
        <v>277</v>
      </c>
      <c r="H28" s="25" t="s">
        <v>263</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155</v>
      </c>
      <c r="F32" s="20" t="s">
        <v>251</v>
      </c>
      <c r="G32" s="20" t="s">
        <v>252</v>
      </c>
      <c r="H32" s="25" t="s">
        <v>253</v>
      </c>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44"/>
      <c r="G35" s="44"/>
      <c r="H35" s="44"/>
      <c r="I35" s="44"/>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155</v>
      </c>
      <c r="F45" s="20" t="s">
        <v>278</v>
      </c>
      <c r="G45" s="20" t="s">
        <v>255</v>
      </c>
      <c r="H45" s="25" t="s">
        <v>256</v>
      </c>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155</v>
      </c>
      <c r="F49" s="20" t="s">
        <v>264</v>
      </c>
      <c r="G49" s="20" t="s">
        <v>265</v>
      </c>
      <c r="H49" s="25" t="s">
        <v>266</v>
      </c>
      <c r="I49" s="25"/>
    </row>
    <row r="50" spans="1:9" s="19" customFormat="1" ht="31.5" x14ac:dyDescent="0.25">
      <c r="A50" s="20">
        <v>28</v>
      </c>
      <c r="B50" s="47" t="s">
        <v>85</v>
      </c>
      <c r="C50" s="21" t="s">
        <v>22</v>
      </c>
      <c r="D50" s="20" t="s">
        <v>86</v>
      </c>
      <c r="E50" s="44" t="s">
        <v>155</v>
      </c>
      <c r="F50" s="20" t="s">
        <v>267</v>
      </c>
      <c r="G50" s="20" t="s">
        <v>268</v>
      </c>
      <c r="H50" s="20" t="s">
        <v>279</v>
      </c>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269</v>
      </c>
      <c r="G74" s="20" t="s">
        <v>280</v>
      </c>
      <c r="H74" s="25" t="s">
        <v>270</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154</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155</v>
      </c>
      <c r="F82" s="20" t="s">
        <v>271</v>
      </c>
      <c r="G82" s="20" t="s">
        <v>281</v>
      </c>
      <c r="H82" s="25" t="s">
        <v>272</v>
      </c>
      <c r="I82" s="25"/>
    </row>
    <row r="83" spans="1:9" s="19" customFormat="1" ht="141.75" x14ac:dyDescent="0.25">
      <c r="A83" s="20">
        <v>56</v>
      </c>
      <c r="B83" s="47" t="s">
        <v>145</v>
      </c>
      <c r="C83" s="21" t="s">
        <v>32</v>
      </c>
      <c r="D83" s="20" t="s">
        <v>146</v>
      </c>
      <c r="E83" s="44" t="s">
        <v>155</v>
      </c>
      <c r="F83" s="20" t="s">
        <v>273</v>
      </c>
      <c r="G83" s="20" t="s">
        <v>274</v>
      </c>
      <c r="H83" s="25" t="s">
        <v>275</v>
      </c>
      <c r="I83" s="25"/>
    </row>
    <row r="84" spans="1:9" s="19" customFormat="1" ht="15.75" x14ac:dyDescent="0.25">
      <c r="C84" s="42"/>
    </row>
    <row r="85" spans="1:9" s="19" customFormat="1" ht="15.75" x14ac:dyDescent="0.25">
      <c r="C85" s="42"/>
    </row>
    <row r="86" spans="1:9" s="19" customFormat="1" ht="15.75" x14ac:dyDescent="0.25">
      <c r="C86" s="42"/>
    </row>
    <row r="87" spans="1:9" ht="15" x14ac:dyDescent="0.25">
      <c r="I87" s="12"/>
    </row>
  </sheetData>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247" priority="19">
      <formula>E1="Not Applicable"</formula>
    </cfRule>
    <cfRule type="expression" dxfId="246" priority="20">
      <formula>E1="Fail"</formula>
    </cfRule>
    <cfRule type="expression" dxfId="245" priority="21">
      <formula>E1="Pass"</formula>
    </cfRule>
  </conditionalFormatting>
  <conditionalFormatting sqref="E13:E15 E84:E1048576">
    <cfRule type="expression" dxfId="244" priority="23">
      <formula>E13="Not Applicable"</formula>
    </cfRule>
    <cfRule type="expression" dxfId="243" priority="24">
      <formula>E13="Fail"</formula>
    </cfRule>
    <cfRule type="expression" dxfId="242" priority="25">
      <formula>E13="Pass"</formula>
    </cfRule>
  </conditionalFormatting>
  <conditionalFormatting sqref="F1:G2 G3 F4:G10 I14:I15 I17:I34 I36:I39 I41:I50 I52:I87 F84:H1048576">
    <cfRule type="expression" dxfId="241" priority="18">
      <formula>AND($E1="Fail", COUNTA($F1:$H1)&gt;0)</formula>
    </cfRule>
  </conditionalFormatting>
  <conditionalFormatting sqref="I35">
    <cfRule type="expression" dxfId="240" priority="15">
      <formula>I35="Not Applicable"</formula>
    </cfRule>
    <cfRule type="expression" dxfId="239" priority="16">
      <formula>I35="Fail"</formula>
    </cfRule>
    <cfRule type="expression" dxfId="238" priority="17">
      <formula>I35="Pass"</formula>
    </cfRule>
  </conditionalFormatting>
  <conditionalFormatting sqref="I40">
    <cfRule type="expression" dxfId="237" priority="27">
      <formula>AND($E40="Fail", COUNTA(#REF!)&gt;0)</formula>
    </cfRule>
  </conditionalFormatting>
  <conditionalFormatting sqref="H1:H11 F13:H15">
    <cfRule type="expression" dxfId="236" priority="22">
      <formula>AND($E1="Fail", COUNTA($F1:$H1)&gt;0)</formula>
    </cfRule>
  </conditionalFormatting>
  <conditionalFormatting sqref="I51">
    <cfRule type="expression" dxfId="235" priority="26">
      <formula>AND($E51="Fail", COUNTA($F40:$H40)&gt;0)</formula>
    </cfRule>
  </conditionalFormatting>
  <conditionalFormatting sqref="E16:E83">
    <cfRule type="expression" dxfId="222" priority="4">
      <formula>E16="Not Applicable"</formula>
    </cfRule>
    <cfRule type="expression" dxfId="221" priority="5">
      <formula>E16="Fail"</formula>
    </cfRule>
    <cfRule type="expression" dxfId="220" priority="6">
      <formula>E16="Pass"</formula>
    </cfRule>
  </conditionalFormatting>
  <conditionalFormatting sqref="F36:H39 F41:H44 F52:H68 F46:H50 F70:H83">
    <cfRule type="expression" dxfId="219" priority="10">
      <formula>AND($E36="Fail", COUNTA($F36:$H36)&gt;0)</formula>
    </cfRule>
  </conditionalFormatting>
  <conditionalFormatting sqref="F16:H31 F33:H34">
    <cfRule type="expression" dxfId="218" priority="3">
      <formula>AND($E16="Fail", COUNTA($F16:$H16)&gt;0)</formula>
    </cfRule>
  </conditionalFormatting>
  <conditionalFormatting sqref="F35:H35">
    <cfRule type="expression" dxfId="217" priority="7">
      <formula>F35="Not Applicable"</formula>
    </cfRule>
    <cfRule type="expression" dxfId="216" priority="8">
      <formula>F35="Fail"</formula>
    </cfRule>
    <cfRule type="expression" dxfId="215" priority="9">
      <formula>F35="Pass"</formula>
    </cfRule>
  </conditionalFormatting>
  <conditionalFormatting sqref="F40:H40">
    <cfRule type="expression" dxfId="214" priority="12">
      <formula>AND($E40="Fail", COUNTA(#REF!)&gt;0)</formula>
    </cfRule>
  </conditionalFormatting>
  <conditionalFormatting sqref="F69 H69">
    <cfRule type="expression" dxfId="213" priority="11">
      <formula>AND($E69="Fail", COUNTA($F69:$H69)&gt;0)</formula>
    </cfRule>
  </conditionalFormatting>
  <conditionalFormatting sqref="F32:H32">
    <cfRule type="expression" dxfId="212" priority="2">
      <formula>AND($E32="Fail", COUNTA($F32:$H32)&gt;0)</formula>
    </cfRule>
  </conditionalFormatting>
  <conditionalFormatting sqref="F45:H45">
    <cfRule type="expression" dxfId="211" priority="1">
      <formula>AND($E45="Fail", COUNTA($F45:$H45)&gt;0)</formula>
    </cfRule>
  </conditionalFormatting>
  <hyperlinks>
    <hyperlink ref="B16" r:id="rId1" location="non-text-content" xr:uid="{F2FE4666-2CF9-4FF2-9A9C-BA6FF815F822}"/>
    <hyperlink ref="B24" r:id="rId2" location="info-and-relationships" xr:uid="{9405858C-FB6F-4AF2-A614-61342E7FC473}"/>
    <hyperlink ref="B18" r:id="rId3" location="audio-only-and-video-only-prerecorded" xr:uid="{F2D3DAC9-E4B9-49CA-87E6-BBC0FD9D9BEB}"/>
    <hyperlink ref="B19" r:id="rId4" location="captions-prerecorded" xr:uid="{D632CC74-0E72-4B18-B551-3F6B359EBFD9}"/>
    <hyperlink ref="B20" r:id="rId5" location="audio-description-or-media-alternative-prerecorded" xr:uid="{3986CCCD-2FE6-4955-9E14-051ADCA93477}"/>
    <hyperlink ref="B21" r:id="rId6" location="captions-live" xr:uid="{E7881BAA-F41D-4E3E-854C-A98C3DCCB3AC}"/>
    <hyperlink ref="B22" r:id="rId7" location="audio-description-prerecorded" xr:uid="{C1E86731-37EB-41A0-BC60-B2ACB65CF5D7}"/>
    <hyperlink ref="B25" r:id="rId8" location="meaningful-sequence" xr:uid="{AA9330EE-A73F-4EF0-9427-6A2F6601A416}"/>
    <hyperlink ref="B26" r:id="rId9" location="sensory-characteristics" xr:uid="{1FA9132B-A25F-40FA-9FF8-B782F773B370}"/>
    <hyperlink ref="B27" r:id="rId10" location="orientation" xr:uid="{8A592BD1-7FC0-4EFF-9290-C8AB56A0E501}"/>
    <hyperlink ref="B28" r:id="rId11" location="identify-input-purpose" xr:uid="{9B26516B-91DC-444B-B2C5-6BD86C5723DA}"/>
    <hyperlink ref="B30" r:id="rId12" location="use-of-color" xr:uid="{3AE77C4A-30FB-4D36-817D-F9DBF2F97CC4}"/>
    <hyperlink ref="B31" r:id="rId13" location="audio-control" xr:uid="{C399F5D5-75DA-499F-9595-7BE8A8ADABDA}"/>
    <hyperlink ref="B32" r:id="rId14" location="contrast-minimum" xr:uid="{2380DD26-21A3-484E-AF39-7FBD31542DFC}"/>
    <hyperlink ref="B33" r:id="rId15" location="resize-text" xr:uid="{29468056-FF94-4230-890F-A6177B187337}"/>
    <hyperlink ref="B34" r:id="rId16" location="images-of-text" xr:uid="{7B24F507-8984-4A32-97FF-ECC07D1AA5D3}"/>
    <hyperlink ref="B35" r:id="rId17" location="reflow" xr:uid="{94943508-79E9-41C5-BF5F-4E4ABAFA7784}"/>
    <hyperlink ref="B36" r:id="rId18" location="non-text-contrast" xr:uid="{53C797C1-4F78-40BE-8AA8-FECD32424582}"/>
    <hyperlink ref="B37" r:id="rId19" location="text-spacing" xr:uid="{8EE7CF75-FF9F-4B5C-9500-4551333C4379}"/>
    <hyperlink ref="B38" r:id="rId20" location="content-on-hover-or-focus" xr:uid="{8048CC0C-B801-41CD-8E43-98CC893A0BC7}"/>
    <hyperlink ref="B40" r:id="rId21" location="keyboard" xr:uid="{872A0395-D883-4B59-9718-4176CADDC0D3}"/>
    <hyperlink ref="B41" r:id="rId22" location="no-keyboard-trap" xr:uid="{CCCE91EF-BACC-4054-84F8-2995463659CF}"/>
    <hyperlink ref="B43" r:id="rId23" location="character-key-shortcuts" xr:uid="{54485C91-B080-493D-B2E7-60C06FD79B25}"/>
    <hyperlink ref="B44" r:id="rId24" location="timing-adjustable" xr:uid="{6CBE14DB-A363-495F-87FF-4476C33F0C70}"/>
    <hyperlink ref="B45" r:id="rId25" location="pause-stop-hide" xr:uid="{678CAE46-1B1E-44BD-8FDE-EB9646F4D68F}"/>
    <hyperlink ref="B47" r:id="rId26" location="three-flashes-or-below-threshold" xr:uid="{B7822A3B-A3A3-4774-A085-4827C2ED482B}"/>
    <hyperlink ref="B49" r:id="rId27" location="bypass-blocks" xr:uid="{8A9F9EF1-AD32-4CCB-9810-3EE0EAA2BB53}"/>
    <hyperlink ref="B50" r:id="rId28" location="page-titled" xr:uid="{D0C8A2A4-7E76-428F-9355-395BA057B3E1}"/>
    <hyperlink ref="B51" r:id="rId29" location="focus-order" xr:uid="{CBFA8464-E8FF-46E8-AAA8-2E3E77D7A52A}"/>
    <hyperlink ref="B52" r:id="rId30" location="link-purpose-in-context" xr:uid="{250A28DE-8C63-4EC2-ACFA-BE1A2E124CF8}"/>
    <hyperlink ref="B53" r:id="rId31" location="multiple-ways" xr:uid="{15C6D6E7-5AA9-4143-A794-1F12373A216D}"/>
    <hyperlink ref="B54" r:id="rId32" location="headings-and-labels" xr:uid="{56CF438F-7F28-43AC-A7D1-3B9F3C149BCC}"/>
    <hyperlink ref="B55" r:id="rId33" location="focus-visible" xr:uid="{789A3ED8-0629-4382-A5E8-815B729AF9C0}"/>
    <hyperlink ref="B56" r:id="rId34" location="focus-not-obscured-minimum" xr:uid="{0E3C1304-1A01-47F5-8358-16B8E6ACE7B8}"/>
    <hyperlink ref="B58" r:id="rId35" location="pointer-gestures" xr:uid="{B67E6BCE-1609-447C-9686-68EE83D89C35}"/>
    <hyperlink ref="B59" r:id="rId36" location="pointer-cancellation" xr:uid="{6A2EDE2E-FC63-4746-8844-C926C98E0FD9}"/>
    <hyperlink ref="B60" r:id="rId37" location="label-in-name" xr:uid="{92DDB0B8-19F5-451A-97F6-058750FBA4F0}"/>
    <hyperlink ref="B61" r:id="rId38" location="motion-actuation" xr:uid="{EBC764BA-89C7-4929-93A7-2777C2127070}"/>
    <hyperlink ref="B62" r:id="rId39" location="dragging-movements" xr:uid="{6547E752-DF62-426F-AB42-D2533C848D61}"/>
    <hyperlink ref="B63" r:id="rId40" location="target-size-minimum" xr:uid="{505FB331-77FB-4889-9E2C-D1D6986F6382}"/>
    <hyperlink ref="B65" r:id="rId41" location="language-of-page" xr:uid="{6ED10860-83BB-450D-A3E9-EC7C5F5AB1F5}"/>
    <hyperlink ref="B66" r:id="rId42" location="language-of-parts" xr:uid="{E6EF23B2-ED42-4F6B-B729-7D90810C6654}"/>
    <hyperlink ref="B68" r:id="rId43" location="on-focus" xr:uid="{C18331C4-F96A-4E87-ABCB-8056EFADD2F1}"/>
    <hyperlink ref="B69" r:id="rId44" location="on-input" xr:uid="{7DC6C5BC-2BCF-4F50-9467-94AF171B3D83}"/>
    <hyperlink ref="B70" r:id="rId45" location="consistent-navigation" xr:uid="{0F355C03-EBFD-4678-A86F-E238E82FB1AD}"/>
    <hyperlink ref="B71" r:id="rId46" location="consistent-identification" xr:uid="{C2B2F492-8A9D-4590-B8F1-FDA7A563F6F1}"/>
    <hyperlink ref="B72" r:id="rId47" location="consistent-help" xr:uid="{C479BDBC-D78C-45C4-8AB3-28EA26345074}"/>
    <hyperlink ref="B74" r:id="rId48" location="error-identification" xr:uid="{BD6A5EDD-F825-4F0A-8180-CC8C7E644759}"/>
    <hyperlink ref="B75" r:id="rId49" location="labels-or-instructions" xr:uid="{ABD1A249-1EE0-4023-8B1B-21DA278D1084}"/>
    <hyperlink ref="B76" r:id="rId50" location="error-suggestion" xr:uid="{0C73F2CA-2310-4E29-8281-4F160DBF1A83}"/>
    <hyperlink ref="B77" r:id="rId51" location="error-prevention-legal-financial-data" xr:uid="{E8DC401A-3AC4-4150-9885-56F649CE9B28}"/>
    <hyperlink ref="B78" r:id="rId52" location="redundant-entry" xr:uid="{1338D7BB-E54C-4DA1-B6C2-F44F61424C36}"/>
    <hyperlink ref="B79" r:id="rId53" location="accessible-authentication-minimum" xr:uid="{FE71697F-A1F0-447E-AE02-F79FD315E9BC}"/>
    <hyperlink ref="B81" r:id="rId54" location="parsing" xr:uid="{C4C6C066-8E84-424E-B8E4-E5D5C27D47FB}"/>
    <hyperlink ref="B82" r:id="rId55" location="name-role-value" xr:uid="{942FE06A-C09D-4808-A9EE-FE35F66EEDBC}"/>
    <hyperlink ref="B83" r:id="rId56" location="status-messages" xr:uid="{BBED9DCE-AD92-4C76-91C9-91B84468A6B7}"/>
    <hyperlink ref="E11" r:id="rId57" xr:uid="{3286E887-9031-4432-924F-A164AE5612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0F32-4656-40F3-9B3C-588878E24E3C}">
  <dimension ref="A1:O87"/>
  <sheetViews>
    <sheetView workbookViewId="0">
      <selection activeCell="C4" sqref="C4"/>
    </sheetView>
  </sheetViews>
  <sheetFormatPr defaultColWidth="0" defaultRowHeight="0"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282</v>
      </c>
    </row>
    <row r="3" spans="1:10" s="4" customFormat="1" ht="21.95" customHeight="1" x14ac:dyDescent="0.25">
      <c r="A3" s="53" t="s">
        <v>2</v>
      </c>
      <c r="B3" s="54"/>
      <c r="C3" s="5" t="s">
        <v>283</v>
      </c>
      <c r="F3" s="5"/>
    </row>
    <row r="4" spans="1:10" s="4" customFormat="1" ht="21.95" customHeight="1" x14ac:dyDescent="0.25">
      <c r="A4" s="53" t="s">
        <v>3</v>
      </c>
      <c r="B4" s="54"/>
    </row>
    <row r="5" spans="1:10" s="4" customFormat="1" ht="21.95" customHeight="1" x14ac:dyDescent="0.25">
      <c r="A5" s="53" t="s">
        <v>4</v>
      </c>
      <c r="B5" s="61"/>
      <c r="C5" s="6">
        <v>46123</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COUNTA(E17:E83)</f>
        <v>Total Number of Test: 55</v>
      </c>
      <c r="E10" s="7" t="str">
        <f>"Pass: " &amp; COUNTIF(E17:E83, "Pass")</f>
        <v>Pass: 26</v>
      </c>
      <c r="F10" s="8" t="str">
        <f>"Fail: " &amp; COUNTIF(E17:E83, "Fail")</f>
        <v>Fail: 7</v>
      </c>
      <c r="G10" s="9" t="str">
        <f>"Not applicable: " &amp; COUNTIF(E17:E83,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155</v>
      </c>
      <c r="F16" s="20" t="s">
        <v>258</v>
      </c>
      <c r="G16" s="20" t="s">
        <v>276</v>
      </c>
      <c r="H16" s="25" t="s">
        <v>259</v>
      </c>
      <c r="J16" s="12"/>
    </row>
    <row r="17" spans="1:10" s="19" customFormat="1" ht="23.25" customHeight="1" x14ac:dyDescent="0.25">
      <c r="A17" s="22"/>
      <c r="B17" s="46" t="s">
        <v>24</v>
      </c>
      <c r="C17" s="24"/>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260</v>
      </c>
      <c r="G24" s="20" t="s">
        <v>159</v>
      </c>
      <c r="H24" s="25" t="s">
        <v>261</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262</v>
      </c>
      <c r="G28" s="20" t="s">
        <v>284</v>
      </c>
      <c r="H28" s="25" t="s">
        <v>263</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155</v>
      </c>
      <c r="F32" s="20" t="s">
        <v>289</v>
      </c>
      <c r="G32" s="20" t="s">
        <v>290</v>
      </c>
      <c r="H32" s="25" t="s">
        <v>253</v>
      </c>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44"/>
      <c r="G35" s="44"/>
      <c r="H35" s="44"/>
      <c r="I35" s="44"/>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41</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155</v>
      </c>
      <c r="F49" s="20" t="s">
        <v>264</v>
      </c>
      <c r="G49" s="20" t="s">
        <v>265</v>
      </c>
      <c r="H49" s="25" t="s">
        <v>266</v>
      </c>
      <c r="I49" s="25"/>
    </row>
    <row r="50" spans="1:9" s="19" customFormat="1" ht="31.5" x14ac:dyDescent="0.25">
      <c r="A50" s="20">
        <v>28</v>
      </c>
      <c r="B50" s="47" t="s">
        <v>85</v>
      </c>
      <c r="C50" s="21" t="s">
        <v>22</v>
      </c>
      <c r="D50" s="20" t="s">
        <v>86</v>
      </c>
      <c r="E50" s="44" t="s">
        <v>155</v>
      </c>
      <c r="F50" s="20" t="s">
        <v>285</v>
      </c>
      <c r="G50" s="20" t="s">
        <v>268</v>
      </c>
      <c r="H50" s="20" t="s">
        <v>291</v>
      </c>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287</v>
      </c>
      <c r="G74" s="20" t="s">
        <v>292</v>
      </c>
      <c r="H74" s="25" t="s">
        <v>270</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154</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155</v>
      </c>
      <c r="F82" s="20" t="s">
        <v>288</v>
      </c>
      <c r="G82" s="20" t="s">
        <v>284</v>
      </c>
      <c r="H82" s="25" t="s">
        <v>272</v>
      </c>
      <c r="I82" s="25"/>
    </row>
    <row r="83" spans="1:9" s="19" customFormat="1" ht="141.75" x14ac:dyDescent="0.25">
      <c r="A83" s="20">
        <v>56</v>
      </c>
      <c r="B83" s="47" t="s">
        <v>145</v>
      </c>
      <c r="C83" s="21" t="s">
        <v>32</v>
      </c>
      <c r="D83" s="20" t="s">
        <v>146</v>
      </c>
      <c r="E83" s="44" t="s">
        <v>154</v>
      </c>
      <c r="F83" s="20"/>
      <c r="G83" s="20"/>
      <c r="H83" s="25"/>
      <c r="I83" s="25"/>
    </row>
    <row r="84" spans="1:9" s="19" customFormat="1" ht="15.75" x14ac:dyDescent="0.25">
      <c r="C84" s="42"/>
    </row>
    <row r="85" spans="1:9" s="19" customFormat="1" ht="15.75" x14ac:dyDescent="0.25">
      <c r="C85" s="42"/>
    </row>
    <row r="86" spans="1:9" s="19" customFormat="1" ht="15.75" x14ac:dyDescent="0.25">
      <c r="C86" s="42"/>
    </row>
    <row r="87" spans="1:9" ht="15" x14ac:dyDescent="0.25">
      <c r="I87" s="12"/>
    </row>
  </sheetData>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210" priority="27">
      <formula>E1="Not Applicable"</formula>
    </cfRule>
    <cfRule type="expression" dxfId="209" priority="28">
      <formula>E1="Fail"</formula>
    </cfRule>
    <cfRule type="expression" dxfId="208" priority="29">
      <formula>E1="Pass"</formula>
    </cfRule>
  </conditionalFormatting>
  <conditionalFormatting sqref="E13:E15 E84:E1048576">
    <cfRule type="expression" dxfId="207" priority="31">
      <formula>E13="Not Applicable"</formula>
    </cfRule>
    <cfRule type="expression" dxfId="206" priority="32">
      <formula>E13="Fail"</formula>
    </cfRule>
    <cfRule type="expression" dxfId="205" priority="33">
      <formula>E13="Pass"</formula>
    </cfRule>
  </conditionalFormatting>
  <conditionalFormatting sqref="F1:G2 G3 F4:G10 I14:I15 I17:I34 I36:I39 I41:I50 I52:I87 F84:H1048576">
    <cfRule type="expression" dxfId="204" priority="26">
      <formula>AND($E1="Fail", COUNTA($F1:$H1)&gt;0)</formula>
    </cfRule>
  </conditionalFormatting>
  <conditionalFormatting sqref="I35">
    <cfRule type="expression" dxfId="203" priority="23">
      <formula>I35="Not Applicable"</formula>
    </cfRule>
    <cfRule type="expression" dxfId="202" priority="24">
      <formula>I35="Fail"</formula>
    </cfRule>
    <cfRule type="expression" dxfId="201" priority="25">
      <formula>I35="Pass"</formula>
    </cfRule>
  </conditionalFormatting>
  <conditionalFormatting sqref="I40">
    <cfRule type="expression" dxfId="200" priority="35">
      <formula>AND($E40="Fail", COUNTA(#REF!)&gt;0)</formula>
    </cfRule>
  </conditionalFormatting>
  <conditionalFormatting sqref="H1:H11 F13:H15">
    <cfRule type="expression" dxfId="199" priority="30">
      <formula>AND($E1="Fail", COUNTA($F1:$H1)&gt;0)</formula>
    </cfRule>
  </conditionalFormatting>
  <conditionalFormatting sqref="I51">
    <cfRule type="expression" dxfId="198" priority="34">
      <formula>AND($E51="Fail", COUNTA($F40:$H40)&gt;0)</formula>
    </cfRule>
  </conditionalFormatting>
  <conditionalFormatting sqref="E16:E23">
    <cfRule type="expression" dxfId="197" priority="14">
      <formula>E16="Not Applicable"</formula>
    </cfRule>
    <cfRule type="expression" dxfId="196" priority="15">
      <formula>E16="Fail"</formula>
    </cfRule>
    <cfRule type="expression" dxfId="195" priority="16">
      <formula>E16="Pass"</formula>
    </cfRule>
  </conditionalFormatting>
  <conditionalFormatting sqref="F16:H23">
    <cfRule type="expression" dxfId="193" priority="13">
      <formula>AND($E16="Fail", COUNTA($F16:$H16)&gt;0)</formula>
    </cfRule>
  </conditionalFormatting>
  <conditionalFormatting sqref="E24:E83">
    <cfRule type="expression" dxfId="185" priority="2">
      <formula>E24="Not Applicable"</formula>
    </cfRule>
    <cfRule type="expression" dxfId="184" priority="3">
      <formula>E24="Fail"</formula>
    </cfRule>
    <cfRule type="expression" dxfId="183" priority="4">
      <formula>E24="Pass"</formula>
    </cfRule>
  </conditionalFormatting>
  <conditionalFormatting sqref="F36:H39 F41:H50 F52:H68 F70:H83">
    <cfRule type="expression" dxfId="182" priority="8">
      <formula>AND($E36="Fail", COUNTA($F36:$H36)&gt;0)</formula>
    </cfRule>
  </conditionalFormatting>
  <conditionalFormatting sqref="F24:H34">
    <cfRule type="expression" dxfId="181" priority="1">
      <formula>AND($E24="Fail", COUNTA($F24:$H24)&gt;0)</formula>
    </cfRule>
  </conditionalFormatting>
  <conditionalFormatting sqref="F35:H35">
    <cfRule type="expression" dxfId="180" priority="5">
      <formula>F35="Not Applicable"</formula>
    </cfRule>
    <cfRule type="expression" dxfId="179" priority="6">
      <formula>F35="Fail"</formula>
    </cfRule>
    <cfRule type="expression" dxfId="178" priority="7">
      <formula>F35="Pass"</formula>
    </cfRule>
  </conditionalFormatting>
  <conditionalFormatting sqref="F40:H40">
    <cfRule type="expression" dxfId="177" priority="10">
      <formula>AND($E40="Fail", COUNTA(#REF!)&gt;0)</formula>
    </cfRule>
  </conditionalFormatting>
  <conditionalFormatting sqref="F69 H69">
    <cfRule type="expression" dxfId="176" priority="9">
      <formula>AND($E69="Fail", COUNTA($F69:$H69)&gt;0)</formula>
    </cfRule>
  </conditionalFormatting>
  <hyperlinks>
    <hyperlink ref="B16" r:id="rId1" location="non-text-content" xr:uid="{61E560F6-E870-43D4-ACA4-3A3193DB945F}"/>
    <hyperlink ref="B24" r:id="rId2" location="info-and-relationships" xr:uid="{F2AB030D-35BA-43B8-8AF0-8E1D2E84E76F}"/>
    <hyperlink ref="B18" r:id="rId3" location="audio-only-and-video-only-prerecorded" xr:uid="{4B6EB168-895C-45D6-A300-DC0AB8E5B3F9}"/>
    <hyperlink ref="B19" r:id="rId4" location="captions-prerecorded" xr:uid="{906302D8-3917-4B34-B0FF-192BE30A9AB4}"/>
    <hyperlink ref="B20" r:id="rId5" location="audio-description-or-media-alternative-prerecorded" xr:uid="{73DAEB59-30BA-4DD2-A8C2-F06D2D812A1B}"/>
    <hyperlink ref="B21" r:id="rId6" location="captions-live" xr:uid="{D2A9C4F0-B62E-45A4-9781-7321EFDE4337}"/>
    <hyperlink ref="B22" r:id="rId7" location="audio-description-prerecorded" xr:uid="{5E7AAA25-1785-4511-99F4-907B2766A1A4}"/>
    <hyperlink ref="B25" r:id="rId8" location="meaningful-sequence" xr:uid="{9BA37946-48F8-4261-A5DE-F902041D3CFB}"/>
    <hyperlink ref="B26" r:id="rId9" location="sensory-characteristics" xr:uid="{A65541D7-B590-44AC-84FB-C3417A65CABC}"/>
    <hyperlink ref="B27" r:id="rId10" location="orientation" xr:uid="{013508F8-35AD-41F2-8A3D-1C94F7633ED9}"/>
    <hyperlink ref="B28" r:id="rId11" location="identify-input-purpose" xr:uid="{288EE56F-93B3-410C-97B0-86D1CAB54552}"/>
    <hyperlink ref="B30" r:id="rId12" location="use-of-color" xr:uid="{87E4B5BD-B977-44EC-9879-B6B7F5235894}"/>
    <hyperlink ref="B31" r:id="rId13" location="audio-control" xr:uid="{F4FA7BB6-17FB-46FC-A4E6-F12BC67B4D61}"/>
    <hyperlink ref="B32" r:id="rId14" location="contrast-minimum" xr:uid="{68E84D48-0F8D-49A8-AA57-EA69AE925452}"/>
    <hyperlink ref="B33" r:id="rId15" location="resize-text" xr:uid="{76E4220F-C3D2-413B-94C0-B32A318617CA}"/>
    <hyperlink ref="B34" r:id="rId16" location="images-of-text" xr:uid="{8353CFDD-C890-49F9-BB5F-28E00914B058}"/>
    <hyperlink ref="B35" r:id="rId17" location="reflow" xr:uid="{09835E72-1ED6-44B3-AF04-8284D654740C}"/>
    <hyperlink ref="B36" r:id="rId18" location="non-text-contrast" xr:uid="{5924EC00-831B-4A23-94B5-722765503426}"/>
    <hyperlink ref="B37" r:id="rId19" location="text-spacing" xr:uid="{0DD585DE-E613-4A65-B7BF-CDCF660F42B8}"/>
    <hyperlink ref="B38" r:id="rId20" location="content-on-hover-or-focus" xr:uid="{E3A86A25-2825-4545-B911-E476C699322B}"/>
    <hyperlink ref="B40" r:id="rId21" location="keyboard" xr:uid="{4C3E2574-1F52-4CB7-B389-8E96C6E41CFC}"/>
    <hyperlink ref="B41" r:id="rId22" location="no-keyboard-trap" xr:uid="{4F8156EA-4F17-42DA-8020-D586603A2079}"/>
    <hyperlink ref="B43" r:id="rId23" location="character-key-shortcuts" xr:uid="{D334D7FF-29CB-499E-9C0B-2A4ED7D80C0F}"/>
    <hyperlink ref="B44" r:id="rId24" location="timing-adjustable" xr:uid="{BBF045FB-E02A-482F-8A34-E147786FE1FF}"/>
    <hyperlink ref="B45" r:id="rId25" location="pause-stop-hide" xr:uid="{D373C1F1-366A-403F-974A-FF346A5811B0}"/>
    <hyperlink ref="B47" r:id="rId26" location="three-flashes-or-below-threshold" xr:uid="{77E1497D-C487-4BF7-995A-787F18398B8D}"/>
    <hyperlink ref="B49" r:id="rId27" location="bypass-blocks" xr:uid="{6ED7D132-28EA-43D8-938D-DDF3E435F491}"/>
    <hyperlink ref="B50" r:id="rId28" location="page-titled" xr:uid="{C6D17599-54DE-4C77-B963-F89B9A43616B}"/>
    <hyperlink ref="B51" r:id="rId29" location="focus-order" xr:uid="{D4F87770-E321-4B20-8037-98EE65DE4EA5}"/>
    <hyperlink ref="B52" r:id="rId30" location="link-purpose-in-context" xr:uid="{A088C441-E7BE-4CC4-901C-3CAD8D5748D0}"/>
    <hyperlink ref="B53" r:id="rId31" location="multiple-ways" xr:uid="{E93661E4-694E-4B7F-B076-57D8D209D146}"/>
    <hyperlink ref="B54" r:id="rId32" location="headings-and-labels" xr:uid="{FCA3ADB5-C376-414A-9493-46806735D111}"/>
    <hyperlink ref="B55" r:id="rId33" location="focus-visible" xr:uid="{4D5469B3-9D40-413F-A86A-4EF43C61C95B}"/>
    <hyperlink ref="B56" r:id="rId34" location="focus-not-obscured-minimum" xr:uid="{3A2D483E-BF39-4B63-A746-0986F4F30DC9}"/>
    <hyperlink ref="B58" r:id="rId35" location="pointer-gestures" xr:uid="{711F0941-AC31-4601-BD91-C21A81919B39}"/>
    <hyperlink ref="B59" r:id="rId36" location="pointer-cancellation" xr:uid="{AB7533C4-494C-4AC6-821C-66B1868072C7}"/>
    <hyperlink ref="B60" r:id="rId37" location="label-in-name" xr:uid="{2A1D697F-10EB-452E-B381-0A660F1F61F6}"/>
    <hyperlink ref="B61" r:id="rId38" location="motion-actuation" xr:uid="{3934B371-D898-4D35-8605-785A989901FE}"/>
    <hyperlink ref="B62" r:id="rId39" location="dragging-movements" xr:uid="{60E048C7-9593-41EE-808F-744D472490E0}"/>
    <hyperlink ref="B63" r:id="rId40" location="target-size-minimum" xr:uid="{F286F3F4-DB56-4CFD-BFCE-468718159690}"/>
    <hyperlink ref="B65" r:id="rId41" location="language-of-page" xr:uid="{0AF84292-301B-4902-80A5-5AFB19402745}"/>
    <hyperlink ref="B66" r:id="rId42" location="language-of-parts" xr:uid="{638D11AE-EF60-40AE-8342-DFB50917D632}"/>
    <hyperlink ref="B68" r:id="rId43" location="on-focus" xr:uid="{7B7EC578-7A6C-4A14-ADF7-F9DE9F5EB5F9}"/>
    <hyperlink ref="B69" r:id="rId44" location="on-input" xr:uid="{5B8DF996-27DA-46DE-BB4B-F9275284AB38}"/>
    <hyperlink ref="B70" r:id="rId45" location="consistent-navigation" xr:uid="{EA197AAB-DB4A-4530-BAFF-726CF08930E8}"/>
    <hyperlink ref="B71" r:id="rId46" location="consistent-identification" xr:uid="{980368D3-384D-45B4-A17D-92BDC388ADA4}"/>
    <hyperlink ref="B72" r:id="rId47" location="consistent-help" xr:uid="{E95F94A7-8220-4B44-B83D-3F76020FB895}"/>
    <hyperlink ref="B74" r:id="rId48" location="error-identification" xr:uid="{1ED2DE80-EFB4-4162-ACA9-08526572EB46}"/>
    <hyperlink ref="B75" r:id="rId49" location="labels-or-instructions" xr:uid="{31422A18-20EF-4045-AAA6-4E8D0493C2D6}"/>
    <hyperlink ref="B76" r:id="rId50" location="error-suggestion" xr:uid="{E1655062-C10D-4652-9027-AE3BF31BB131}"/>
    <hyperlink ref="B77" r:id="rId51" location="error-prevention-legal-financial-data" xr:uid="{8D10DB15-4305-4E32-BE3E-E3BD1C548AD1}"/>
    <hyperlink ref="B78" r:id="rId52" location="redundant-entry" xr:uid="{D8A53033-612D-4D6A-8EC6-409DC98F71A0}"/>
    <hyperlink ref="B79" r:id="rId53" location="accessible-authentication-minimum" xr:uid="{4BD9FD2F-156E-4638-9197-E839D5C84EF9}"/>
    <hyperlink ref="B81" r:id="rId54" location="parsing" xr:uid="{FFDC7AFC-52A7-4D08-81C6-C08AD8B20A91}"/>
    <hyperlink ref="B82" r:id="rId55" location="name-role-value" xr:uid="{AAD7C7C1-B6D1-4C5A-905A-A4C84B47FC59}"/>
    <hyperlink ref="B83" r:id="rId56" location="status-messages" xr:uid="{5C93F923-B00C-4484-A165-76DF6F29586A}"/>
    <hyperlink ref="E11" r:id="rId57" xr:uid="{74D0ECF3-1CCA-4B6F-A196-E14987C9A01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12B8-D789-494B-AE00-12EE45CFF58C}">
  <dimension ref="A1:O87"/>
  <sheetViews>
    <sheetView workbookViewId="0">
      <selection activeCell="E5" sqref="E5"/>
    </sheetView>
  </sheetViews>
  <sheetFormatPr defaultColWidth="0" defaultRowHeight="0"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293</v>
      </c>
    </row>
    <row r="3" spans="1:10" s="4" customFormat="1" ht="21.95" customHeight="1" x14ac:dyDescent="0.25">
      <c r="A3" s="53" t="s">
        <v>2</v>
      </c>
      <c r="B3" s="54"/>
      <c r="C3" s="5" t="s">
        <v>294</v>
      </c>
      <c r="F3" s="5"/>
    </row>
    <row r="4" spans="1:10" s="4" customFormat="1" ht="21.95" customHeight="1" x14ac:dyDescent="0.25">
      <c r="A4" s="53" t="s">
        <v>3</v>
      </c>
      <c r="B4" s="54"/>
    </row>
    <row r="5" spans="1:10" s="4" customFormat="1" ht="21.95" customHeight="1" x14ac:dyDescent="0.25">
      <c r="A5" s="53" t="s">
        <v>4</v>
      </c>
      <c r="B5" s="61"/>
      <c r="C5" s="6">
        <v>46123</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COUNTA(E17:E83)</f>
        <v>Total Number of Test: 55</v>
      </c>
      <c r="E10" s="7" t="str">
        <f>"Pass: " &amp; COUNTIF(E17:E83, "Pass")</f>
        <v>Pass: 29</v>
      </c>
      <c r="F10" s="8" t="str">
        <f>"Fail: " &amp; COUNTIF(E17:E83, "Fail")</f>
        <v>Fail: 3</v>
      </c>
      <c r="G10" s="9" t="str">
        <f>"Not applicable: " &amp; COUNTIF(E17:E83, "Not applicable")</f>
        <v>Not applicable: 23</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J16" s="12"/>
    </row>
    <row r="17" spans="1:10" s="19" customFormat="1" ht="23.25" customHeight="1" x14ac:dyDescent="0.25">
      <c r="A17" s="22"/>
      <c r="B17" s="46" t="s">
        <v>24</v>
      </c>
      <c r="C17" s="24"/>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309</v>
      </c>
      <c r="G24" s="20" t="s">
        <v>295</v>
      </c>
      <c r="H24" s="25" t="s">
        <v>310</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41</v>
      </c>
      <c r="F28" s="20"/>
      <c r="G28" s="20"/>
      <c r="H28" s="25"/>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44"/>
      <c r="G35" s="44"/>
      <c r="H35" s="44"/>
      <c r="I35" s="44"/>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41</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94.5" x14ac:dyDescent="0.25">
      <c r="A49" s="20">
        <v>27</v>
      </c>
      <c r="B49" s="47" t="s">
        <v>83</v>
      </c>
      <c r="C49" s="21" t="s">
        <v>22</v>
      </c>
      <c r="D49" s="20" t="s">
        <v>84</v>
      </c>
      <c r="E49" s="44" t="s">
        <v>155</v>
      </c>
      <c r="F49" s="20" t="s">
        <v>243</v>
      </c>
      <c r="G49" s="20" t="s">
        <v>296</v>
      </c>
      <c r="H49" s="25" t="s">
        <v>244</v>
      </c>
      <c r="I49" s="25"/>
    </row>
    <row r="50" spans="1:9" s="19" customFormat="1" ht="31.5" x14ac:dyDescent="0.25">
      <c r="A50" s="20">
        <v>28</v>
      </c>
      <c r="B50" s="47" t="s">
        <v>85</v>
      </c>
      <c r="C50" s="21" t="s">
        <v>22</v>
      </c>
      <c r="D50" s="20" t="s">
        <v>86</v>
      </c>
      <c r="E50" s="44" t="s">
        <v>155</v>
      </c>
      <c r="F50" s="20" t="s">
        <v>297</v>
      </c>
      <c r="G50" s="20" t="s">
        <v>268</v>
      </c>
      <c r="H50" s="20" t="s">
        <v>286</v>
      </c>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154</v>
      </c>
      <c r="F74" s="20"/>
      <c r="G74" s="20"/>
      <c r="H74" s="25"/>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154</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154</v>
      </c>
      <c r="F83" s="20"/>
      <c r="G83" s="20"/>
      <c r="H83" s="25"/>
      <c r="I83" s="25"/>
    </row>
    <row r="84" spans="1:9" s="19" customFormat="1" ht="15.75" x14ac:dyDescent="0.25">
      <c r="C84" s="42"/>
    </row>
    <row r="85" spans="1:9" s="19" customFormat="1" ht="15.75" x14ac:dyDescent="0.25">
      <c r="C85" s="42"/>
    </row>
    <row r="86" spans="1:9" s="19" customFormat="1" ht="15.75" x14ac:dyDescent="0.25">
      <c r="C86" s="42"/>
    </row>
    <row r="87" spans="1:9" ht="15" x14ac:dyDescent="0.25">
      <c r="I87" s="12"/>
    </row>
  </sheetData>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175" priority="25">
      <formula>E1="Not Applicable"</formula>
    </cfRule>
    <cfRule type="expression" dxfId="174" priority="26">
      <formula>E1="Fail"</formula>
    </cfRule>
    <cfRule type="expression" dxfId="173" priority="27">
      <formula>E1="Pass"</formula>
    </cfRule>
  </conditionalFormatting>
  <conditionalFormatting sqref="E13:E15 E84:E1048576">
    <cfRule type="expression" dxfId="172" priority="29">
      <formula>E13="Not Applicable"</formula>
    </cfRule>
    <cfRule type="expression" dxfId="171" priority="30">
      <formula>E13="Fail"</formula>
    </cfRule>
    <cfRule type="expression" dxfId="170" priority="31">
      <formula>E13="Pass"</formula>
    </cfRule>
  </conditionalFormatting>
  <conditionalFormatting sqref="F1:G2 G3 F4:G10 I14:I15 I17:I34 I36:I39 I41:I50 I52:I87 F84:H1048576">
    <cfRule type="expression" dxfId="169" priority="24">
      <formula>AND($E1="Fail", COUNTA($F1:$H1)&gt;0)</formula>
    </cfRule>
  </conditionalFormatting>
  <conditionalFormatting sqref="I35">
    <cfRule type="expression" dxfId="168" priority="21">
      <formula>I35="Not Applicable"</formula>
    </cfRule>
    <cfRule type="expression" dxfId="167" priority="22">
      <formula>I35="Fail"</formula>
    </cfRule>
    <cfRule type="expression" dxfId="166" priority="23">
      <formula>I35="Pass"</formula>
    </cfRule>
  </conditionalFormatting>
  <conditionalFormatting sqref="I40">
    <cfRule type="expression" dxfId="165" priority="33">
      <formula>AND($E40="Fail", COUNTA(#REF!)&gt;0)</formula>
    </cfRule>
  </conditionalFormatting>
  <conditionalFormatting sqref="H1:H11 F13:H15">
    <cfRule type="expression" dxfId="164" priority="28">
      <formula>AND($E1="Fail", COUNTA($F1:$H1)&gt;0)</formula>
    </cfRule>
  </conditionalFormatting>
  <conditionalFormatting sqref="I51">
    <cfRule type="expression" dxfId="163" priority="32">
      <formula>AND($E51="Fail", COUNTA($F40:$H40)&gt;0)</formula>
    </cfRule>
  </conditionalFormatting>
  <conditionalFormatting sqref="E16:E23">
    <cfRule type="expression" dxfId="162" priority="18">
      <formula>E16="Not Applicable"</formula>
    </cfRule>
    <cfRule type="expression" dxfId="161" priority="19">
      <formula>E16="Fail"</formula>
    </cfRule>
    <cfRule type="expression" dxfId="160" priority="20">
      <formula>E16="Pass"</formula>
    </cfRule>
  </conditionalFormatting>
  <conditionalFormatting sqref="F16:H23">
    <cfRule type="expression" dxfId="159" priority="17">
      <formula>AND($E16="Fail", COUNTA($F16:$H16)&gt;0)</formula>
    </cfRule>
  </conditionalFormatting>
  <conditionalFormatting sqref="E24:E83">
    <cfRule type="expression" dxfId="158" priority="8">
      <formula>E24="Not Applicable"</formula>
    </cfRule>
    <cfRule type="expression" dxfId="157" priority="9">
      <formula>E24="Fail"</formula>
    </cfRule>
    <cfRule type="expression" dxfId="156" priority="10">
      <formula>E24="Pass"</formula>
    </cfRule>
  </conditionalFormatting>
  <conditionalFormatting sqref="F24:H34 F36:H39 F41:H50 F52:H68 F70:H83">
    <cfRule type="expression" dxfId="148" priority="4">
      <formula>AND($E24="Fail", COUNTA($F24:$H24)&gt;0)</formula>
    </cfRule>
  </conditionalFormatting>
  <conditionalFormatting sqref="F35:H35">
    <cfRule type="expression" dxfId="147" priority="1">
      <formula>F35="Not Applicable"</formula>
    </cfRule>
    <cfRule type="expression" dxfId="146" priority="2">
      <formula>F35="Fail"</formula>
    </cfRule>
    <cfRule type="expression" dxfId="145" priority="3">
      <formula>F35="Pass"</formula>
    </cfRule>
  </conditionalFormatting>
  <conditionalFormatting sqref="F40:H40">
    <cfRule type="expression" dxfId="144" priority="6">
      <formula>AND($E40="Fail", COUNTA(#REF!)&gt;0)</formula>
    </cfRule>
  </conditionalFormatting>
  <conditionalFormatting sqref="F69 H69">
    <cfRule type="expression" dxfId="143" priority="5">
      <formula>AND($E69="Fail", COUNTA($F69:$H69)&gt;0)</formula>
    </cfRule>
  </conditionalFormatting>
  <hyperlinks>
    <hyperlink ref="B16" r:id="rId1" location="non-text-content" xr:uid="{086AFB97-2D14-4FEE-8A33-156A5D06321A}"/>
    <hyperlink ref="B24" r:id="rId2" location="info-and-relationships" xr:uid="{B952B4DB-394C-47DC-82B8-63EFAB143933}"/>
    <hyperlink ref="B18" r:id="rId3" location="audio-only-and-video-only-prerecorded" xr:uid="{65707273-E867-40D5-9A6D-1692D8B67AC6}"/>
    <hyperlink ref="B19" r:id="rId4" location="captions-prerecorded" xr:uid="{47C45695-87B6-4526-B52D-D36A1D47BBA6}"/>
    <hyperlink ref="B20" r:id="rId5" location="audio-description-or-media-alternative-prerecorded" xr:uid="{D8C8F15F-D4C1-499A-9149-9C834693FD89}"/>
    <hyperlink ref="B21" r:id="rId6" location="captions-live" xr:uid="{75E022F1-FF5D-4608-AE1D-1F154C97235B}"/>
    <hyperlink ref="B22" r:id="rId7" location="audio-description-prerecorded" xr:uid="{7F9E030C-C7F3-4FE0-9FEA-4C6963332B70}"/>
    <hyperlink ref="B25" r:id="rId8" location="meaningful-sequence" xr:uid="{0B54AF33-0F8B-47DF-A1C5-C43026B42EFF}"/>
    <hyperlink ref="B26" r:id="rId9" location="sensory-characteristics" xr:uid="{3C921AFD-BD94-4802-BCD0-25D44F923445}"/>
    <hyperlink ref="B27" r:id="rId10" location="orientation" xr:uid="{67E3BA07-8542-4114-9BD4-8E071AA3CA34}"/>
    <hyperlink ref="B28" r:id="rId11" location="identify-input-purpose" xr:uid="{5FCDC41A-B6F0-47A9-A156-F7F2C00DCCB4}"/>
    <hyperlink ref="B30" r:id="rId12" location="use-of-color" xr:uid="{67B37D87-056E-4633-BADA-B4D1AB58C640}"/>
    <hyperlink ref="B31" r:id="rId13" location="audio-control" xr:uid="{36C00CA4-C5F6-4960-9A9F-D10E60E4A057}"/>
    <hyperlink ref="B32" r:id="rId14" location="contrast-minimum" xr:uid="{F8D81A99-7F7E-4B69-90FB-7EEF22B145B4}"/>
    <hyperlink ref="B33" r:id="rId15" location="resize-text" xr:uid="{35167E6C-ED62-4060-932C-115712BD4886}"/>
    <hyperlink ref="B34" r:id="rId16" location="images-of-text" xr:uid="{DB14B812-DAC7-4536-BC3F-A56A6E6C6196}"/>
    <hyperlink ref="B35" r:id="rId17" location="reflow" xr:uid="{5AA092FD-3F75-4CE4-A040-1E232D6F5ED1}"/>
    <hyperlink ref="B36" r:id="rId18" location="non-text-contrast" xr:uid="{F7019574-AB65-48DE-8B95-EACCEA82C08E}"/>
    <hyperlink ref="B37" r:id="rId19" location="text-spacing" xr:uid="{11DC2520-2A05-495A-A461-36917B1F9718}"/>
    <hyperlink ref="B38" r:id="rId20" location="content-on-hover-or-focus" xr:uid="{D9A39D91-D17F-49CF-BAEF-46BD9E4A0DD0}"/>
    <hyperlink ref="B40" r:id="rId21" location="keyboard" xr:uid="{C5E7047F-A478-47C3-86E4-88A7B206E4DA}"/>
    <hyperlink ref="B41" r:id="rId22" location="no-keyboard-trap" xr:uid="{0B273B05-441D-473F-AC42-D69B3AB50E47}"/>
    <hyperlink ref="B43" r:id="rId23" location="character-key-shortcuts" xr:uid="{C9456451-0619-4161-9FFA-EACD68C37A4A}"/>
    <hyperlink ref="B44" r:id="rId24" location="timing-adjustable" xr:uid="{9CBD891E-5309-4D79-B00F-62830A495116}"/>
    <hyperlink ref="B45" r:id="rId25" location="pause-stop-hide" xr:uid="{E6E01F05-EE5D-42F0-AD58-059A9021A60D}"/>
    <hyperlink ref="B47" r:id="rId26" location="three-flashes-or-below-threshold" xr:uid="{31992C2D-2F75-4EEB-AEBF-6BC31601A19A}"/>
    <hyperlink ref="B49" r:id="rId27" location="bypass-blocks" xr:uid="{64F897CF-6ADA-4080-9989-869575CDAF9C}"/>
    <hyperlink ref="B50" r:id="rId28" location="page-titled" xr:uid="{CDBD4B41-83FD-4B98-B388-343EFD849431}"/>
    <hyperlink ref="B51" r:id="rId29" location="focus-order" xr:uid="{BDB29ED3-41B6-4AD2-AC5E-BD080FB121D2}"/>
    <hyperlink ref="B52" r:id="rId30" location="link-purpose-in-context" xr:uid="{526C6DC6-7B51-4D31-9A97-970F449932AE}"/>
    <hyperlink ref="B53" r:id="rId31" location="multiple-ways" xr:uid="{77A0FAA4-F3C2-4F98-9575-1250DE324F2A}"/>
    <hyperlink ref="B54" r:id="rId32" location="headings-and-labels" xr:uid="{68D07CD2-B0BE-4FCC-8BF0-5C91056F0A8F}"/>
    <hyperlink ref="B55" r:id="rId33" location="focus-visible" xr:uid="{AF3762A4-89B5-4524-8041-5876E9D6A8D6}"/>
    <hyperlink ref="B56" r:id="rId34" location="focus-not-obscured-minimum" xr:uid="{EF53AEE5-E71B-4243-A1B4-F5176A5D4297}"/>
    <hyperlink ref="B58" r:id="rId35" location="pointer-gestures" xr:uid="{7F17E665-E81D-4432-9E7E-EEE62246806A}"/>
    <hyperlink ref="B59" r:id="rId36" location="pointer-cancellation" xr:uid="{E433D5E2-AA99-4A00-B838-D7D870D20F1D}"/>
    <hyperlink ref="B60" r:id="rId37" location="label-in-name" xr:uid="{65274AC4-491E-4C65-A086-3E4C9F48A35D}"/>
    <hyperlink ref="B61" r:id="rId38" location="motion-actuation" xr:uid="{AE7F7C3E-A7EF-4C42-A942-58DD6AF1863C}"/>
    <hyperlink ref="B62" r:id="rId39" location="dragging-movements" xr:uid="{6F04B5D5-8B9E-4F7D-9290-BEDEE964C47C}"/>
    <hyperlink ref="B63" r:id="rId40" location="target-size-minimum" xr:uid="{B173DCCF-D305-4875-AD93-AA08C7E5E968}"/>
    <hyperlink ref="B65" r:id="rId41" location="language-of-page" xr:uid="{68A3F8D1-8ACE-4FD4-8E92-D3DCFAC2A7B3}"/>
    <hyperlink ref="B66" r:id="rId42" location="language-of-parts" xr:uid="{7A2787C7-8A08-4804-B31C-A543291796E9}"/>
    <hyperlink ref="B68" r:id="rId43" location="on-focus" xr:uid="{D0B4760B-24A1-4973-A73C-8351D8C67338}"/>
    <hyperlink ref="B69" r:id="rId44" location="on-input" xr:uid="{B9B14C89-BF90-4541-B19B-25ACF56FD5CF}"/>
    <hyperlink ref="B70" r:id="rId45" location="consistent-navigation" xr:uid="{AC23A20C-267D-44BD-AF66-ACFA8EDBE3E0}"/>
    <hyperlink ref="B71" r:id="rId46" location="consistent-identification" xr:uid="{AA78DC90-BB32-4BB3-A929-23AFFE426868}"/>
    <hyperlink ref="B72" r:id="rId47" location="consistent-help" xr:uid="{9BF6E6FE-16F5-434A-ACFE-8B9D6F4027B8}"/>
    <hyperlink ref="B74" r:id="rId48" location="error-identification" xr:uid="{6FE8F456-8D10-4929-9891-0D29A01AA771}"/>
    <hyperlink ref="B75" r:id="rId49" location="labels-or-instructions" xr:uid="{29C3EA87-4484-4D67-A651-2D6074FCD1E0}"/>
    <hyperlink ref="B76" r:id="rId50" location="error-suggestion" xr:uid="{97197ECB-36CD-4B89-AE76-ADEA31302D6F}"/>
    <hyperlink ref="B77" r:id="rId51" location="error-prevention-legal-financial-data" xr:uid="{141B06B3-917E-4282-92D7-6D44F3E267E3}"/>
    <hyperlink ref="B78" r:id="rId52" location="redundant-entry" xr:uid="{E8B397B3-EC15-46B4-B165-9DA8B82A230B}"/>
    <hyperlink ref="B79" r:id="rId53" location="accessible-authentication-minimum" xr:uid="{3E94D23F-D612-4822-A9E3-525820B093B6}"/>
    <hyperlink ref="B81" r:id="rId54" location="parsing" xr:uid="{707743B4-346D-4705-9AB0-5B4E63C3A823}"/>
    <hyperlink ref="B82" r:id="rId55" location="name-role-value" xr:uid="{F30BDB53-5CE0-41C2-B50A-EF434A26A038}"/>
    <hyperlink ref="B83" r:id="rId56" location="status-messages" xr:uid="{2396593F-C363-4177-A690-1D4DDBF7844C}"/>
    <hyperlink ref="E11" r:id="rId57" xr:uid="{2E06EA48-E045-4AE8-ABB0-28CD1547982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40D7-1D88-4BB1-BE44-826958DABE51}">
  <dimension ref="A1:O87"/>
  <sheetViews>
    <sheetView workbookViewId="0">
      <selection activeCell="F5" sqref="F5"/>
    </sheetView>
  </sheetViews>
  <sheetFormatPr defaultColWidth="0" defaultRowHeight="0"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298</v>
      </c>
    </row>
    <row r="3" spans="1:10" s="4" customFormat="1" ht="21.95" customHeight="1" x14ac:dyDescent="0.25">
      <c r="A3" s="53" t="s">
        <v>2</v>
      </c>
      <c r="B3" s="54"/>
      <c r="C3" s="5" t="s">
        <v>304</v>
      </c>
      <c r="F3" s="5"/>
    </row>
    <row r="4" spans="1:10" s="4" customFormat="1" ht="21.95" customHeight="1" x14ac:dyDescent="0.25">
      <c r="A4" s="53" t="s">
        <v>3</v>
      </c>
      <c r="B4" s="54"/>
    </row>
    <row r="5" spans="1:10" s="4" customFormat="1" ht="21.95" customHeight="1" x14ac:dyDescent="0.25">
      <c r="A5" s="53" t="s">
        <v>4</v>
      </c>
      <c r="B5" s="61"/>
      <c r="C5" s="6">
        <v>46123</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COUNTA(E17:E83)</f>
        <v>Total Number of Test: 55</v>
      </c>
      <c r="E10" s="7" t="str">
        <f>"Pass: " &amp; COUNTIF(E17:E83, "Pass")</f>
        <v>Pass: 27</v>
      </c>
      <c r="F10" s="8" t="str">
        <f>"Fail: " &amp; COUNTIF(E17:E83, "Fail")</f>
        <v>Fail: 4</v>
      </c>
      <c r="G10" s="9" t="str">
        <f>"Not applicable: " &amp; COUNTIF(E17:E83, "Not applicable")</f>
        <v>Not applicable: 24</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156</v>
      </c>
      <c r="J16" s="12"/>
    </row>
    <row r="17" spans="1:10" s="19" customFormat="1" ht="23.25" customHeight="1" x14ac:dyDescent="0.25">
      <c r="A17" s="22"/>
      <c r="B17" s="46" t="s">
        <v>24</v>
      </c>
      <c r="C17" s="24"/>
      <c r="D17" s="24"/>
      <c r="E17" s="24"/>
      <c r="F17" s="24"/>
      <c r="G17" s="24"/>
      <c r="H17" s="24"/>
      <c r="I17" s="24"/>
      <c r="J17" s="12"/>
    </row>
    <row r="18" spans="1:10" s="19" customFormat="1" ht="94.5" x14ac:dyDescent="0.25">
      <c r="A18" s="20">
        <v>2</v>
      </c>
      <c r="B18" s="47" t="s">
        <v>25</v>
      </c>
      <c r="C18" s="21" t="s">
        <v>22</v>
      </c>
      <c r="D18" s="20" t="s">
        <v>26</v>
      </c>
      <c r="E18" s="44" t="s">
        <v>241</v>
      </c>
      <c r="F18" s="20"/>
      <c r="G18" s="20"/>
      <c r="H18" s="25"/>
      <c r="I18" s="25"/>
    </row>
    <row r="19" spans="1:10" s="19" customFormat="1" ht="47.25" x14ac:dyDescent="0.25">
      <c r="A19" s="20">
        <v>3</v>
      </c>
      <c r="B19" s="47" t="s">
        <v>27</v>
      </c>
      <c r="C19" s="21" t="s">
        <v>22</v>
      </c>
      <c r="D19" s="20" t="s">
        <v>28</v>
      </c>
      <c r="E19" s="44" t="s">
        <v>241</v>
      </c>
      <c r="F19" s="20"/>
      <c r="G19" s="20"/>
      <c r="H19" s="25"/>
      <c r="I19" s="25"/>
    </row>
    <row r="20" spans="1:10" s="19" customFormat="1" ht="78.75" x14ac:dyDescent="0.25">
      <c r="A20" s="20">
        <v>4</v>
      </c>
      <c r="B20" s="47" t="s">
        <v>29</v>
      </c>
      <c r="C20" s="21" t="s">
        <v>22</v>
      </c>
      <c r="D20" s="20" t="s">
        <v>30</v>
      </c>
      <c r="E20" s="44" t="s">
        <v>241</v>
      </c>
      <c r="F20" s="20"/>
      <c r="G20" s="20"/>
      <c r="H20" s="25"/>
      <c r="I20" s="25"/>
    </row>
    <row r="21" spans="1:10" s="19" customFormat="1" ht="47.25" x14ac:dyDescent="0.25">
      <c r="A21" s="20">
        <v>5</v>
      </c>
      <c r="B21" s="47" t="s">
        <v>31</v>
      </c>
      <c r="C21" s="21" t="s">
        <v>32</v>
      </c>
      <c r="D21" s="20" t="s">
        <v>33</v>
      </c>
      <c r="E21" s="44" t="s">
        <v>241</v>
      </c>
      <c r="F21" s="20"/>
      <c r="G21" s="20"/>
      <c r="H21" s="25"/>
      <c r="I21" s="25"/>
    </row>
    <row r="22" spans="1:10" s="19" customFormat="1" ht="63" x14ac:dyDescent="0.25">
      <c r="A22" s="20">
        <v>6</v>
      </c>
      <c r="B22" s="47" t="s">
        <v>34</v>
      </c>
      <c r="C22" s="21" t="s">
        <v>32</v>
      </c>
      <c r="D22" s="20" t="s">
        <v>35</v>
      </c>
      <c r="E22" s="44" t="s">
        <v>241</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242</v>
      </c>
      <c r="F24" s="20" t="s">
        <v>307</v>
      </c>
      <c r="G24" s="20" t="s">
        <v>299</v>
      </c>
      <c r="H24" s="25" t="s">
        <v>308</v>
      </c>
      <c r="I24" s="25"/>
    </row>
    <row r="25" spans="1:10" s="19" customFormat="1" ht="94.5" x14ac:dyDescent="0.25">
      <c r="A25" s="20">
        <v>8</v>
      </c>
      <c r="B25" s="47" t="s">
        <v>39</v>
      </c>
      <c r="C25" s="21" t="s">
        <v>22</v>
      </c>
      <c r="D25" s="20" t="s">
        <v>40</v>
      </c>
      <c r="E25" s="44" t="s">
        <v>156</v>
      </c>
      <c r="F25" s="20"/>
      <c r="G25" s="20"/>
      <c r="H25" s="25"/>
      <c r="I25" s="25"/>
    </row>
    <row r="26" spans="1:10" s="19" customFormat="1" ht="126" x14ac:dyDescent="0.25">
      <c r="A26" s="20">
        <v>9</v>
      </c>
      <c r="B26" s="47" t="s">
        <v>42</v>
      </c>
      <c r="C26" s="21" t="s">
        <v>22</v>
      </c>
      <c r="D26" s="20" t="s">
        <v>43</v>
      </c>
      <c r="E26" s="44" t="s">
        <v>156</v>
      </c>
      <c r="F26" s="20"/>
      <c r="G26" s="20"/>
      <c r="H26" s="25"/>
      <c r="I26" s="25"/>
    </row>
    <row r="27" spans="1:10" s="19" customFormat="1" ht="94.5" x14ac:dyDescent="0.25">
      <c r="A27" s="20">
        <v>10</v>
      </c>
      <c r="B27" s="47" t="s">
        <v>44</v>
      </c>
      <c r="C27" s="21" t="s">
        <v>32</v>
      </c>
      <c r="D27" s="20" t="s">
        <v>45</v>
      </c>
      <c r="E27" s="44" t="s">
        <v>156</v>
      </c>
      <c r="F27" s="20"/>
      <c r="G27" s="20"/>
      <c r="H27" s="25"/>
      <c r="I27" s="25"/>
    </row>
    <row r="28" spans="1:10" s="19" customFormat="1" ht="78.75" x14ac:dyDescent="0.25">
      <c r="A28" s="20">
        <v>11</v>
      </c>
      <c r="B28" s="47" t="s">
        <v>46</v>
      </c>
      <c r="C28" s="21" t="s">
        <v>32</v>
      </c>
      <c r="D28" s="20" t="s">
        <v>47</v>
      </c>
      <c r="E28" s="44" t="s">
        <v>156</v>
      </c>
      <c r="F28" s="20"/>
      <c r="G28" s="20"/>
      <c r="H28" s="25"/>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156</v>
      </c>
      <c r="F30" s="20"/>
      <c r="G30" s="20"/>
      <c r="H30" s="25"/>
      <c r="I30" s="25"/>
    </row>
    <row r="31" spans="1:10" s="19" customFormat="1" ht="141.75" x14ac:dyDescent="0.25">
      <c r="A31" s="20">
        <v>13</v>
      </c>
      <c r="B31" s="47" t="s">
        <v>51</v>
      </c>
      <c r="C31" s="21" t="s">
        <v>22</v>
      </c>
      <c r="D31" s="20" t="s">
        <v>52</v>
      </c>
      <c r="E31" s="44" t="s">
        <v>241</v>
      </c>
      <c r="F31" s="20"/>
      <c r="G31" s="20"/>
      <c r="H31" s="25"/>
      <c r="I31" s="25"/>
    </row>
    <row r="32" spans="1:10" s="19" customFormat="1" ht="94.5" x14ac:dyDescent="0.25">
      <c r="A32" s="20">
        <v>14</v>
      </c>
      <c r="B32" s="47" t="s">
        <v>53</v>
      </c>
      <c r="C32" s="21" t="s">
        <v>32</v>
      </c>
      <c r="D32" s="20" t="s">
        <v>54</v>
      </c>
      <c r="E32" s="44" t="s">
        <v>156</v>
      </c>
      <c r="F32" s="20"/>
      <c r="G32" s="20"/>
      <c r="H32" s="25"/>
      <c r="I32" s="25"/>
    </row>
    <row r="33" spans="1:9" s="19" customFormat="1" ht="94.5" x14ac:dyDescent="0.25">
      <c r="A33" s="20">
        <v>15</v>
      </c>
      <c r="B33" s="47" t="s">
        <v>55</v>
      </c>
      <c r="C33" s="21" t="s">
        <v>32</v>
      </c>
      <c r="D33" s="20" t="s">
        <v>56</v>
      </c>
      <c r="E33" s="44" t="s">
        <v>156</v>
      </c>
      <c r="F33" s="20"/>
      <c r="G33" s="20"/>
      <c r="H33" s="25"/>
      <c r="I33" s="25"/>
    </row>
    <row r="34" spans="1:9" s="19" customFormat="1" ht="78.75" x14ac:dyDescent="0.25">
      <c r="A34" s="20">
        <v>16</v>
      </c>
      <c r="B34" s="47" t="s">
        <v>57</v>
      </c>
      <c r="C34" s="21" t="s">
        <v>32</v>
      </c>
      <c r="D34" s="20" t="s">
        <v>58</v>
      </c>
      <c r="E34" s="44" t="s">
        <v>156</v>
      </c>
      <c r="F34" s="20"/>
      <c r="G34" s="20"/>
      <c r="H34" s="25"/>
      <c r="I34" s="25"/>
    </row>
    <row r="35" spans="1:9" s="19" customFormat="1" ht="78.75" x14ac:dyDescent="0.25">
      <c r="A35" s="20">
        <v>17</v>
      </c>
      <c r="B35" s="47" t="s">
        <v>59</v>
      </c>
      <c r="C35" s="21" t="s">
        <v>32</v>
      </c>
      <c r="D35" s="20" t="s">
        <v>60</v>
      </c>
      <c r="E35" s="44" t="s">
        <v>156</v>
      </c>
      <c r="F35" s="44"/>
      <c r="G35" s="44"/>
      <c r="H35" s="44"/>
      <c r="I35" s="44"/>
    </row>
    <row r="36" spans="1:9" s="19" customFormat="1" ht="63" x14ac:dyDescent="0.25">
      <c r="A36" s="20">
        <v>18</v>
      </c>
      <c r="B36" s="47" t="s">
        <v>61</v>
      </c>
      <c r="C36" s="21" t="s">
        <v>32</v>
      </c>
      <c r="D36" s="20" t="s">
        <v>62</v>
      </c>
      <c r="E36" s="44" t="s">
        <v>156</v>
      </c>
      <c r="F36" s="20"/>
      <c r="G36" s="20"/>
      <c r="H36" s="25"/>
      <c r="I36" s="25"/>
    </row>
    <row r="37" spans="1:9" s="19" customFormat="1" ht="267.75" x14ac:dyDescent="0.25">
      <c r="A37" s="20">
        <v>19</v>
      </c>
      <c r="B37" s="47" t="s">
        <v>63</v>
      </c>
      <c r="C37" s="21" t="s">
        <v>41</v>
      </c>
      <c r="D37" s="20" t="s">
        <v>64</v>
      </c>
      <c r="E37" s="44" t="s">
        <v>156</v>
      </c>
      <c r="F37" s="20"/>
      <c r="G37" s="20"/>
      <c r="H37" s="25"/>
      <c r="I37" s="25"/>
    </row>
    <row r="38" spans="1:9" s="19" customFormat="1" ht="126" x14ac:dyDescent="0.25">
      <c r="A38" s="20">
        <v>20</v>
      </c>
      <c r="B38" s="47" t="s">
        <v>65</v>
      </c>
      <c r="C38" s="21" t="s">
        <v>32</v>
      </c>
      <c r="D38" s="20" t="s">
        <v>66</v>
      </c>
      <c r="E38" s="44" t="s">
        <v>156</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156</v>
      </c>
      <c r="F40" s="25"/>
      <c r="G40" s="25"/>
      <c r="H40" s="25"/>
      <c r="I40" s="25"/>
    </row>
    <row r="41" spans="1:9" s="19" customFormat="1" ht="110.25" x14ac:dyDescent="0.25">
      <c r="A41" s="20">
        <v>22</v>
      </c>
      <c r="B41" s="47" t="s">
        <v>70</v>
      </c>
      <c r="C41" s="21" t="s">
        <v>22</v>
      </c>
      <c r="D41" s="20" t="s">
        <v>71</v>
      </c>
      <c r="E41" s="44" t="s">
        <v>156</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241</v>
      </c>
      <c r="F43" s="20"/>
      <c r="G43" s="20"/>
      <c r="H43" s="25"/>
      <c r="I43" s="25"/>
    </row>
    <row r="44" spans="1:9" s="19" customFormat="1" ht="315" x14ac:dyDescent="0.25">
      <c r="A44" s="20">
        <v>24</v>
      </c>
      <c r="B44" s="47" t="s">
        <v>75</v>
      </c>
      <c r="C44" s="21" t="s">
        <v>22</v>
      </c>
      <c r="D44" s="20" t="s">
        <v>76</v>
      </c>
      <c r="E44" s="44" t="s">
        <v>241</v>
      </c>
      <c r="F44" s="20"/>
      <c r="G44" s="20"/>
      <c r="H44" s="25"/>
      <c r="I44" s="25"/>
    </row>
    <row r="45" spans="1:9" s="19" customFormat="1" ht="126" x14ac:dyDescent="0.25">
      <c r="A45" s="20">
        <v>25</v>
      </c>
      <c r="B45" s="47" t="s">
        <v>77</v>
      </c>
      <c r="C45" s="21" t="s">
        <v>22</v>
      </c>
      <c r="D45" s="20" t="s">
        <v>78</v>
      </c>
      <c r="E45" s="44" t="s">
        <v>241</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241</v>
      </c>
      <c r="F47" s="20"/>
      <c r="G47" s="20"/>
      <c r="H47" s="25"/>
      <c r="I47" s="25"/>
    </row>
    <row r="48" spans="1:9" s="19" customFormat="1" ht="24.75" customHeight="1" x14ac:dyDescent="0.25">
      <c r="A48" s="22"/>
      <c r="B48" s="46" t="s">
        <v>82</v>
      </c>
      <c r="C48" s="27"/>
      <c r="D48" s="28"/>
      <c r="E48" s="28"/>
      <c r="F48" s="28"/>
      <c r="G48" s="28"/>
      <c r="H48" s="28"/>
      <c r="I48" s="28"/>
    </row>
    <row r="49" spans="1:9" s="19" customFormat="1" ht="94.5" x14ac:dyDescent="0.25">
      <c r="A49" s="20">
        <v>27</v>
      </c>
      <c r="B49" s="47" t="s">
        <v>83</v>
      </c>
      <c r="C49" s="21" t="s">
        <v>22</v>
      </c>
      <c r="D49" s="20" t="s">
        <v>84</v>
      </c>
      <c r="E49" s="44" t="s">
        <v>242</v>
      </c>
      <c r="F49" s="20" t="s">
        <v>243</v>
      </c>
      <c r="G49" s="20" t="s">
        <v>300</v>
      </c>
      <c r="H49" s="25" t="s">
        <v>244</v>
      </c>
      <c r="I49" s="25"/>
    </row>
    <row r="50" spans="1:9" s="19" customFormat="1" ht="31.5" x14ac:dyDescent="0.25">
      <c r="A50" s="20">
        <v>28</v>
      </c>
      <c r="B50" s="47" t="s">
        <v>85</v>
      </c>
      <c r="C50" s="21" t="s">
        <v>22</v>
      </c>
      <c r="D50" s="20" t="s">
        <v>86</v>
      </c>
      <c r="E50" s="44" t="s">
        <v>242</v>
      </c>
      <c r="F50" s="20" t="s">
        <v>297</v>
      </c>
      <c r="G50" s="20" t="s">
        <v>268</v>
      </c>
      <c r="H50" s="20" t="s">
        <v>286</v>
      </c>
      <c r="I50" s="25"/>
    </row>
    <row r="51" spans="1:9" s="19" customFormat="1" ht="126" x14ac:dyDescent="0.25">
      <c r="A51" s="20">
        <v>29</v>
      </c>
      <c r="B51" s="47" t="s">
        <v>87</v>
      </c>
      <c r="C51" s="21" t="s">
        <v>22</v>
      </c>
      <c r="D51" s="20" t="s">
        <v>88</v>
      </c>
      <c r="E51" s="44" t="s">
        <v>241</v>
      </c>
      <c r="I51" s="25"/>
    </row>
    <row r="52" spans="1:9" s="19" customFormat="1" ht="94.5" x14ac:dyDescent="0.25">
      <c r="A52" s="20">
        <v>30</v>
      </c>
      <c r="B52" s="47" t="s">
        <v>89</v>
      </c>
      <c r="C52" s="21" t="s">
        <v>22</v>
      </c>
      <c r="D52" s="20" t="s">
        <v>90</v>
      </c>
      <c r="E52" s="44" t="s">
        <v>242</v>
      </c>
      <c r="F52" s="20" t="s">
        <v>301</v>
      </c>
      <c r="G52" s="20" t="s">
        <v>302</v>
      </c>
      <c r="H52" s="25" t="s">
        <v>303</v>
      </c>
      <c r="I52" s="25"/>
    </row>
    <row r="53" spans="1:9" s="19" customFormat="1" ht="94.5" x14ac:dyDescent="0.25">
      <c r="A53" s="20">
        <v>31</v>
      </c>
      <c r="B53" s="47" t="s">
        <v>91</v>
      </c>
      <c r="C53" s="21" t="s">
        <v>32</v>
      </c>
      <c r="D53" s="20" t="s">
        <v>92</v>
      </c>
      <c r="E53" s="44" t="s">
        <v>156</v>
      </c>
      <c r="F53" s="20"/>
      <c r="G53" s="20"/>
      <c r="H53" s="25"/>
      <c r="I53" s="25"/>
    </row>
    <row r="54" spans="1:9" s="19" customFormat="1" ht="31.5" x14ac:dyDescent="0.25">
      <c r="A54" s="20">
        <v>32</v>
      </c>
      <c r="B54" s="47" t="s">
        <v>93</v>
      </c>
      <c r="C54" s="21" t="s">
        <v>32</v>
      </c>
      <c r="D54" s="20" t="s">
        <v>94</v>
      </c>
      <c r="E54" s="44" t="s">
        <v>156</v>
      </c>
      <c r="F54" s="20"/>
      <c r="G54" s="20"/>
      <c r="H54" s="25"/>
      <c r="I54" s="25"/>
    </row>
    <row r="55" spans="1:9" s="19" customFormat="1" ht="63" x14ac:dyDescent="0.25">
      <c r="A55" s="20">
        <v>33</v>
      </c>
      <c r="B55" s="47" t="s">
        <v>95</v>
      </c>
      <c r="C55" s="21" t="s">
        <v>32</v>
      </c>
      <c r="D55" s="20" t="s">
        <v>96</v>
      </c>
      <c r="E55" s="44" t="s">
        <v>156</v>
      </c>
      <c r="F55" s="20"/>
      <c r="G55" s="50"/>
      <c r="H55" s="25"/>
      <c r="I55" s="25"/>
    </row>
    <row r="56" spans="1:9" s="19" customFormat="1" ht="78.75" x14ac:dyDescent="0.25">
      <c r="A56" s="20">
        <v>34</v>
      </c>
      <c r="B56" s="47" t="s">
        <v>97</v>
      </c>
      <c r="C56" s="21" t="s">
        <v>32</v>
      </c>
      <c r="D56" s="20" t="s">
        <v>98</v>
      </c>
      <c r="E56" s="44" t="s">
        <v>156</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241</v>
      </c>
      <c r="F58" s="20"/>
      <c r="G58" s="20"/>
      <c r="H58" s="25"/>
      <c r="I58" s="25"/>
    </row>
    <row r="59" spans="1:9" s="19" customFormat="1" ht="220.5" x14ac:dyDescent="0.25">
      <c r="A59" s="20">
        <v>36</v>
      </c>
      <c r="B59" s="47" t="s">
        <v>102</v>
      </c>
      <c r="C59" s="21" t="s">
        <v>22</v>
      </c>
      <c r="D59" s="20" t="s">
        <v>103</v>
      </c>
      <c r="E59" s="44" t="s">
        <v>241</v>
      </c>
      <c r="F59" s="20"/>
      <c r="G59" s="20"/>
      <c r="H59" s="25"/>
      <c r="I59" s="25"/>
    </row>
    <row r="60" spans="1:9" s="19" customFormat="1" ht="78.75" x14ac:dyDescent="0.25">
      <c r="A60" s="20">
        <v>37</v>
      </c>
      <c r="B60" s="47" t="s">
        <v>104</v>
      </c>
      <c r="C60" s="21" t="s">
        <v>22</v>
      </c>
      <c r="D60" s="20" t="s">
        <v>105</v>
      </c>
      <c r="E60" s="44" t="s">
        <v>156</v>
      </c>
      <c r="F60" s="20"/>
      <c r="G60" s="20"/>
      <c r="H60" s="25"/>
      <c r="I60" s="25"/>
    </row>
    <row r="61" spans="1:9" s="19" customFormat="1" ht="110.25" x14ac:dyDescent="0.25">
      <c r="A61" s="20">
        <v>38</v>
      </c>
      <c r="B61" s="47" t="s">
        <v>106</v>
      </c>
      <c r="C61" s="21" t="s">
        <v>22</v>
      </c>
      <c r="D61" s="20" t="s">
        <v>147</v>
      </c>
      <c r="E61" s="44" t="s">
        <v>156</v>
      </c>
      <c r="F61" s="20"/>
      <c r="G61" s="20"/>
      <c r="H61" s="25"/>
      <c r="I61" s="25"/>
    </row>
    <row r="62" spans="1:9" s="19" customFormat="1" ht="141.75" x14ac:dyDescent="0.25">
      <c r="A62" s="20">
        <v>39</v>
      </c>
      <c r="B62" s="47" t="s">
        <v>107</v>
      </c>
      <c r="C62" s="21" t="s">
        <v>32</v>
      </c>
      <c r="D62" s="20" t="s">
        <v>108</v>
      </c>
      <c r="E62" s="44" t="s">
        <v>241</v>
      </c>
      <c r="F62" s="20"/>
      <c r="G62" s="20"/>
      <c r="H62" s="25"/>
      <c r="I62" s="25"/>
    </row>
    <row r="63" spans="1:9" s="19" customFormat="1" ht="47.25" x14ac:dyDescent="0.25">
      <c r="A63" s="25">
        <v>40</v>
      </c>
      <c r="B63" s="47" t="s">
        <v>109</v>
      </c>
      <c r="C63" s="21" t="s">
        <v>32</v>
      </c>
      <c r="D63" s="20" t="s">
        <v>110</v>
      </c>
      <c r="E63" s="44" t="s">
        <v>156</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156</v>
      </c>
      <c r="F65" s="20"/>
      <c r="G65" s="20"/>
      <c r="H65" s="25"/>
      <c r="I65" s="25"/>
    </row>
    <row r="66" spans="1:9" s="19" customFormat="1" ht="78.75" x14ac:dyDescent="0.25">
      <c r="A66" s="20">
        <v>42</v>
      </c>
      <c r="B66" s="47" t="s">
        <v>114</v>
      </c>
      <c r="C66" s="21" t="s">
        <v>32</v>
      </c>
      <c r="D66" s="20" t="s">
        <v>115</v>
      </c>
      <c r="E66" s="44" t="s">
        <v>241</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241</v>
      </c>
      <c r="F68" s="20"/>
      <c r="G68" s="20"/>
      <c r="H68" s="25"/>
      <c r="I68" s="25"/>
    </row>
    <row r="69" spans="1:9" s="19" customFormat="1" ht="110.25" x14ac:dyDescent="0.25">
      <c r="A69" s="20">
        <v>44</v>
      </c>
      <c r="B69" s="47" t="s">
        <v>119</v>
      </c>
      <c r="C69" s="21" t="s">
        <v>22</v>
      </c>
      <c r="D69" s="20" t="s">
        <v>120</v>
      </c>
      <c r="E69" s="44" t="s">
        <v>241</v>
      </c>
      <c r="F69" s="20"/>
      <c r="H69" s="20"/>
      <c r="I69" s="20"/>
    </row>
    <row r="70" spans="1:9" s="19" customFormat="1" ht="110.25" x14ac:dyDescent="0.25">
      <c r="A70" s="20">
        <v>45</v>
      </c>
      <c r="B70" s="47" t="s">
        <v>121</v>
      </c>
      <c r="C70" s="21" t="s">
        <v>32</v>
      </c>
      <c r="D70" s="20" t="s">
        <v>122</v>
      </c>
      <c r="E70" s="44" t="s">
        <v>156</v>
      </c>
      <c r="F70" s="20"/>
      <c r="G70" s="20"/>
      <c r="H70" s="25"/>
      <c r="I70" s="25"/>
    </row>
    <row r="71" spans="1:9" s="19" customFormat="1" ht="63" x14ac:dyDescent="0.25">
      <c r="A71" s="20">
        <v>46</v>
      </c>
      <c r="B71" s="47" t="s">
        <v>123</v>
      </c>
      <c r="C71" s="21" t="s">
        <v>32</v>
      </c>
      <c r="D71" s="20" t="s">
        <v>124</v>
      </c>
      <c r="E71" s="44" t="s">
        <v>156</v>
      </c>
      <c r="F71" s="20"/>
      <c r="G71" s="20"/>
      <c r="H71" s="25"/>
      <c r="I71" s="25"/>
    </row>
    <row r="72" spans="1:9" s="19" customFormat="1" ht="220.5" x14ac:dyDescent="0.25">
      <c r="A72" s="30">
        <v>47</v>
      </c>
      <c r="B72" s="47" t="s">
        <v>125</v>
      </c>
      <c r="C72" s="21" t="s">
        <v>22</v>
      </c>
      <c r="D72" s="20" t="s">
        <v>126</v>
      </c>
      <c r="E72" s="44" t="s">
        <v>156</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241</v>
      </c>
      <c r="F74" s="20"/>
      <c r="G74" s="20"/>
      <c r="H74" s="25"/>
      <c r="I74" s="25"/>
    </row>
    <row r="75" spans="1:9" s="19" customFormat="1" ht="47.25" x14ac:dyDescent="0.25">
      <c r="A75" s="20">
        <v>49</v>
      </c>
      <c r="B75" s="47" t="s">
        <v>130</v>
      </c>
      <c r="C75" s="21" t="s">
        <v>22</v>
      </c>
      <c r="D75" s="20" t="s">
        <v>131</v>
      </c>
      <c r="E75" s="44" t="s">
        <v>241</v>
      </c>
      <c r="G75" s="20"/>
      <c r="H75" s="25"/>
      <c r="I75" s="25"/>
    </row>
    <row r="76" spans="1:9" s="19" customFormat="1" ht="126" x14ac:dyDescent="0.25">
      <c r="A76" s="20">
        <v>50</v>
      </c>
      <c r="B76" s="47" t="s">
        <v>132</v>
      </c>
      <c r="C76" s="21" t="s">
        <v>32</v>
      </c>
      <c r="D76" s="20" t="s">
        <v>133</v>
      </c>
      <c r="E76" s="44" t="s">
        <v>241</v>
      </c>
      <c r="F76" s="20"/>
      <c r="G76" s="20"/>
      <c r="H76" s="25"/>
      <c r="I76" s="25"/>
    </row>
    <row r="77" spans="1:9" s="19" customFormat="1" ht="173.25" x14ac:dyDescent="0.25">
      <c r="A77" s="20">
        <v>51</v>
      </c>
      <c r="B77" s="47" t="s">
        <v>134</v>
      </c>
      <c r="C77" s="21" t="s">
        <v>32</v>
      </c>
      <c r="D77" s="20" t="s">
        <v>135</v>
      </c>
      <c r="E77" s="44" t="s">
        <v>241</v>
      </c>
      <c r="F77" s="20"/>
      <c r="G77" s="20"/>
      <c r="H77" s="25"/>
      <c r="I77" s="25"/>
    </row>
    <row r="78" spans="1:9" s="19" customFormat="1" ht="126" x14ac:dyDescent="0.25">
      <c r="A78" s="34">
        <v>52</v>
      </c>
      <c r="B78" s="47" t="s">
        <v>136</v>
      </c>
      <c r="C78" s="35" t="s">
        <v>22</v>
      </c>
      <c r="D78" s="36" t="s">
        <v>137</v>
      </c>
      <c r="E78" s="44" t="s">
        <v>241</v>
      </c>
      <c r="F78" s="36"/>
      <c r="G78" s="36"/>
      <c r="H78" s="36"/>
      <c r="I78" s="36"/>
    </row>
    <row r="79" spans="1:9" s="19" customFormat="1" ht="346.5" x14ac:dyDescent="0.25">
      <c r="A79" s="34">
        <v>53</v>
      </c>
      <c r="B79" s="47" t="s">
        <v>138</v>
      </c>
      <c r="C79" s="35" t="s">
        <v>32</v>
      </c>
      <c r="D79" s="36" t="s">
        <v>139</v>
      </c>
      <c r="E79" s="44" t="s">
        <v>241</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156</v>
      </c>
      <c r="F81" s="20"/>
      <c r="G81" s="20"/>
      <c r="H81" s="25"/>
      <c r="I81" s="25"/>
    </row>
    <row r="82" spans="1:9" s="19" customFormat="1" ht="236.25" x14ac:dyDescent="0.25">
      <c r="A82" s="20">
        <v>55</v>
      </c>
      <c r="B82" s="47" t="s">
        <v>143</v>
      </c>
      <c r="C82" s="40" t="s">
        <v>22</v>
      </c>
      <c r="D82" s="41" t="s">
        <v>144</v>
      </c>
      <c r="E82" s="44" t="s">
        <v>156</v>
      </c>
      <c r="F82" s="20"/>
      <c r="G82" s="20"/>
      <c r="H82" s="25"/>
      <c r="I82" s="25"/>
    </row>
    <row r="83" spans="1:9" s="19" customFormat="1" ht="141.75" x14ac:dyDescent="0.25">
      <c r="A83" s="20">
        <v>56</v>
      </c>
      <c r="B83" s="47" t="s">
        <v>145</v>
      </c>
      <c r="C83" s="21" t="s">
        <v>32</v>
      </c>
      <c r="D83" s="20" t="s">
        <v>146</v>
      </c>
      <c r="E83" s="44" t="s">
        <v>241</v>
      </c>
      <c r="F83" s="20"/>
      <c r="G83" s="20"/>
      <c r="H83" s="25"/>
      <c r="I83" s="25"/>
    </row>
    <row r="84" spans="1:9" s="19" customFormat="1" ht="15.75" x14ac:dyDescent="0.25">
      <c r="C84" s="42"/>
    </row>
    <row r="85" spans="1:9" s="19" customFormat="1" ht="15.75" x14ac:dyDescent="0.25">
      <c r="C85" s="42"/>
    </row>
    <row r="86" spans="1:9" s="19" customFormat="1" ht="15.75" x14ac:dyDescent="0.25">
      <c r="C86" s="42"/>
    </row>
    <row r="87" spans="1:9" ht="15" x14ac:dyDescent="0.25">
      <c r="I87" s="12"/>
    </row>
  </sheetData>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142" priority="28">
      <formula>E1="Not Applicable"</formula>
    </cfRule>
    <cfRule type="expression" dxfId="141" priority="29">
      <formula>E1="Fail"</formula>
    </cfRule>
    <cfRule type="expression" dxfId="140" priority="30">
      <formula>E1="Pass"</formula>
    </cfRule>
  </conditionalFormatting>
  <conditionalFormatting sqref="E13:E15 E84:E1048576">
    <cfRule type="expression" dxfId="139" priority="32">
      <formula>E13="Not Applicable"</formula>
    </cfRule>
    <cfRule type="expression" dxfId="138" priority="33">
      <formula>E13="Fail"</formula>
    </cfRule>
    <cfRule type="expression" dxfId="137" priority="34">
      <formula>E13="Pass"</formula>
    </cfRule>
  </conditionalFormatting>
  <conditionalFormatting sqref="F1:G2 G3 F4:G10 I14:I15 I17:I34 I36:I39 I41:I50 I52:I87 F84:H1048576">
    <cfRule type="expression" dxfId="136" priority="27">
      <formula>AND($E1="Fail", COUNTA($F1:$H1)&gt;0)</formula>
    </cfRule>
  </conditionalFormatting>
  <conditionalFormatting sqref="I35">
    <cfRule type="expression" dxfId="135" priority="24">
      <formula>I35="Not Applicable"</formula>
    </cfRule>
    <cfRule type="expression" dxfId="134" priority="25">
      <formula>I35="Fail"</formula>
    </cfRule>
    <cfRule type="expression" dxfId="133" priority="26">
      <formula>I35="Pass"</formula>
    </cfRule>
  </conditionalFormatting>
  <conditionalFormatting sqref="I40">
    <cfRule type="expression" dxfId="132" priority="36">
      <formula>AND($E40="Fail", COUNTA(#REF!)&gt;0)</formula>
    </cfRule>
  </conditionalFormatting>
  <conditionalFormatting sqref="H1:H11 F13:H15">
    <cfRule type="expression" dxfId="131" priority="31">
      <formula>AND($E1="Fail", COUNTA($F1:$H1)&gt;0)</formula>
    </cfRule>
  </conditionalFormatting>
  <conditionalFormatting sqref="I51">
    <cfRule type="expression" dxfId="130" priority="35">
      <formula>AND($E51="Fail", COUNTA($F40:$H40)&gt;0)</formula>
    </cfRule>
  </conditionalFormatting>
  <conditionalFormatting sqref="E16:E83">
    <cfRule type="expression" dxfId="116" priority="7">
      <formula>E16="Not Applicable"</formula>
    </cfRule>
    <cfRule type="expression" dxfId="115" priority="8">
      <formula>E16="Fail"</formula>
    </cfRule>
    <cfRule type="expression" dxfId="114" priority="9">
      <formula>E16="Pass"</formula>
    </cfRule>
  </conditionalFormatting>
  <conditionalFormatting sqref="F17:H23 F36:H39 F41:H50 F52:H68 F70:H83 F25:H34">
    <cfRule type="expression" dxfId="113" priority="5">
      <formula>AND($E17="Fail", COUNTA($F17:$H17)&gt;0)</formula>
    </cfRule>
  </conditionalFormatting>
  <conditionalFormatting sqref="F35:H35">
    <cfRule type="expression" dxfId="112" priority="2">
      <formula>F35="Not Applicable"</formula>
    </cfRule>
    <cfRule type="expression" dxfId="111" priority="3">
      <formula>F35="Fail"</formula>
    </cfRule>
    <cfRule type="expression" dxfId="110" priority="4">
      <formula>F35="Pass"</formula>
    </cfRule>
  </conditionalFormatting>
  <conditionalFormatting sqref="F40:H40">
    <cfRule type="expression" dxfId="109" priority="10">
      <formula>AND($E40="Fail", COUNTA(#REF!)&gt;0)</formula>
    </cfRule>
  </conditionalFormatting>
  <conditionalFormatting sqref="F69 H69">
    <cfRule type="expression" dxfId="108" priority="6">
      <formula>AND($E69="Fail", COUNTA($F69:$H69)&gt;0)</formula>
    </cfRule>
  </conditionalFormatting>
  <conditionalFormatting sqref="F24:H24">
    <cfRule type="expression" dxfId="85" priority="1">
      <formula>AND($E24="Fail", COUNTA($F24:$H24)&gt;0)</formula>
    </cfRule>
  </conditionalFormatting>
  <hyperlinks>
    <hyperlink ref="B16" r:id="rId1" location="non-text-content" xr:uid="{B5C0E035-C2A3-41B7-82A4-9E7EF2B9501C}"/>
    <hyperlink ref="B24" r:id="rId2" location="info-and-relationships" xr:uid="{15915DF9-A787-4E9C-8531-A9E48B7DC9A0}"/>
    <hyperlink ref="B18" r:id="rId3" location="audio-only-and-video-only-prerecorded" xr:uid="{670DC57C-CD6F-4483-9EEF-28F9151B2B24}"/>
    <hyperlink ref="B19" r:id="rId4" location="captions-prerecorded" xr:uid="{B28B02FB-4869-4696-B833-3B17B82102CD}"/>
    <hyperlink ref="B20" r:id="rId5" location="audio-description-or-media-alternative-prerecorded" xr:uid="{C5AC37FE-8F4A-4A92-B35E-CBC55306A90E}"/>
    <hyperlink ref="B21" r:id="rId6" location="captions-live" xr:uid="{FBFC59BC-A6CE-4002-983A-E283AC825CD5}"/>
    <hyperlink ref="B22" r:id="rId7" location="audio-description-prerecorded" xr:uid="{B9403C56-CFC4-42B3-B69D-5368FDBE1A13}"/>
    <hyperlink ref="B25" r:id="rId8" location="meaningful-sequence" xr:uid="{C7C59C90-8281-4B31-925E-0361AED5DA90}"/>
    <hyperlink ref="B26" r:id="rId9" location="sensory-characteristics" xr:uid="{B6E05097-BA67-4FDD-8ECC-68F712A4744B}"/>
    <hyperlink ref="B27" r:id="rId10" location="orientation" xr:uid="{DFEEF0F1-7023-49ED-ACFB-1BB738E98E32}"/>
    <hyperlink ref="B28" r:id="rId11" location="identify-input-purpose" xr:uid="{5971D48C-3788-4DBD-9D93-728B6AEDDC10}"/>
    <hyperlink ref="B30" r:id="rId12" location="use-of-color" xr:uid="{42A0855E-F207-4A04-9F7E-270A6AF037F7}"/>
    <hyperlink ref="B31" r:id="rId13" location="audio-control" xr:uid="{7E82ECEE-C6F8-45B7-A53A-D451156850FC}"/>
    <hyperlink ref="B32" r:id="rId14" location="contrast-minimum" xr:uid="{A5D0F5DC-7354-4A77-8A96-DD1D28385525}"/>
    <hyperlink ref="B33" r:id="rId15" location="resize-text" xr:uid="{636E98AD-30A1-409B-96F8-DFBFB1AF1F6C}"/>
    <hyperlink ref="B34" r:id="rId16" location="images-of-text" xr:uid="{3FC0810B-7AEC-4933-809F-67783120B352}"/>
    <hyperlink ref="B35" r:id="rId17" location="reflow" xr:uid="{79FDADD0-C862-4EC0-8EDC-91492C7EA260}"/>
    <hyperlink ref="B36" r:id="rId18" location="non-text-contrast" xr:uid="{663C584C-3C5B-464C-8A54-4CADF166D1C5}"/>
    <hyperlink ref="B37" r:id="rId19" location="text-spacing" xr:uid="{28F345CE-5F12-48CE-B249-51E1A7EA0541}"/>
    <hyperlink ref="B38" r:id="rId20" location="content-on-hover-or-focus" xr:uid="{20282E1B-77CB-43FE-BB5C-A4BBC40DA147}"/>
    <hyperlink ref="B40" r:id="rId21" location="keyboard" xr:uid="{C65A4904-8D86-4A7F-B189-3538C8ABC389}"/>
    <hyperlink ref="B41" r:id="rId22" location="no-keyboard-trap" xr:uid="{E2184805-7A62-49CE-A161-CDCFC6C9E447}"/>
    <hyperlink ref="B43" r:id="rId23" location="character-key-shortcuts" xr:uid="{254F129B-1A74-4718-B211-86489A4F470B}"/>
    <hyperlink ref="B44" r:id="rId24" location="timing-adjustable" xr:uid="{2DF7C902-DECA-4A05-9396-D77EDD4CED19}"/>
    <hyperlink ref="B45" r:id="rId25" location="pause-stop-hide" xr:uid="{9DA23223-017E-4498-A99C-3D77EAAD721B}"/>
    <hyperlink ref="B47" r:id="rId26" location="three-flashes-or-below-threshold" xr:uid="{51264ADE-FA16-48B3-9C50-F82398A2E12E}"/>
    <hyperlink ref="B49" r:id="rId27" location="bypass-blocks" xr:uid="{60D36F60-9D9A-4AF5-929F-CC13F00611C1}"/>
    <hyperlink ref="B50" r:id="rId28" location="page-titled" xr:uid="{B309E08E-B8CD-43BD-85FA-BCD075C577E9}"/>
    <hyperlink ref="B51" r:id="rId29" location="focus-order" xr:uid="{4FB77C95-3311-486D-9735-25E10B8FE648}"/>
    <hyperlink ref="B52" r:id="rId30" location="link-purpose-in-context" xr:uid="{68A8F53B-34E7-4708-B7A6-58A2E6DD7540}"/>
    <hyperlink ref="B53" r:id="rId31" location="multiple-ways" xr:uid="{1411C92C-FAB0-4E5A-84BA-80B7ACD8C888}"/>
    <hyperlink ref="B54" r:id="rId32" location="headings-and-labels" xr:uid="{15798CF7-6718-458A-BAEB-5D67E071A5D2}"/>
    <hyperlink ref="B55" r:id="rId33" location="focus-visible" xr:uid="{D3CF8D69-A474-4C96-9B85-D753BDBA2CEC}"/>
    <hyperlink ref="B56" r:id="rId34" location="focus-not-obscured-minimum" xr:uid="{8B4DECAC-F47D-40CC-997A-1646328DA740}"/>
    <hyperlink ref="B58" r:id="rId35" location="pointer-gestures" xr:uid="{98561A4B-09B3-4E77-A93D-CE70816E6ADE}"/>
    <hyperlink ref="B59" r:id="rId36" location="pointer-cancellation" xr:uid="{D1AE3177-4AAD-4AAD-90B8-B6974172D4C6}"/>
    <hyperlink ref="B60" r:id="rId37" location="label-in-name" xr:uid="{0FFAF754-97FE-4BF1-B7A3-95324DE2260B}"/>
    <hyperlink ref="B61" r:id="rId38" location="motion-actuation" xr:uid="{B9C1794C-FCE0-4C9C-98D7-03CC0F9F2BB6}"/>
    <hyperlink ref="B62" r:id="rId39" location="dragging-movements" xr:uid="{247354B6-3618-4610-8599-0A172149DF25}"/>
    <hyperlink ref="B63" r:id="rId40" location="target-size-minimum" xr:uid="{467A1C93-75EE-410B-91C4-F82F5AE30C6D}"/>
    <hyperlink ref="B65" r:id="rId41" location="language-of-page" xr:uid="{4E07F93C-8D3D-4BBF-AC80-8034D38625F2}"/>
    <hyperlink ref="B66" r:id="rId42" location="language-of-parts" xr:uid="{C55AF803-1EDB-40BE-9DF1-7C4935DEA446}"/>
    <hyperlink ref="B68" r:id="rId43" location="on-focus" xr:uid="{41B0FD47-8E85-4F1D-BC9B-0FB083425138}"/>
    <hyperlink ref="B69" r:id="rId44" location="on-input" xr:uid="{47594F84-62F6-410F-8B56-609ABC954F44}"/>
    <hyperlink ref="B70" r:id="rId45" location="consistent-navigation" xr:uid="{F3631416-8141-49EC-9969-020B77BBFFD0}"/>
    <hyperlink ref="B71" r:id="rId46" location="consistent-identification" xr:uid="{349EA4C2-CB5D-4B3A-ACAA-E3DDE5C28684}"/>
    <hyperlink ref="B72" r:id="rId47" location="consistent-help" xr:uid="{E9047CF6-5F86-4E88-B13F-49F3253AE4D6}"/>
    <hyperlink ref="B74" r:id="rId48" location="error-identification" xr:uid="{9B972E72-596D-45DF-825C-D6C7D8275BF6}"/>
    <hyperlink ref="B75" r:id="rId49" location="labels-or-instructions" xr:uid="{C56D2FF4-B737-4FA2-9DCD-A0383E599FB7}"/>
    <hyperlink ref="B76" r:id="rId50" location="error-suggestion" xr:uid="{4C659878-E34D-4E02-BCED-55CD2694D8BC}"/>
    <hyperlink ref="B77" r:id="rId51" location="error-prevention-legal-financial-data" xr:uid="{523C4A0C-6AB4-4D65-AF4C-0AB047F50ACC}"/>
    <hyperlink ref="B78" r:id="rId52" location="redundant-entry" xr:uid="{4256B148-D94A-459C-8767-5F587D9EA432}"/>
    <hyperlink ref="B79" r:id="rId53" location="accessible-authentication-minimum" xr:uid="{907D8E5C-6092-4ADF-8D74-879BA66DFADA}"/>
    <hyperlink ref="B81" r:id="rId54" location="parsing" xr:uid="{4DC4D5F4-7AD4-402E-A2FD-42E5E0AD348D}"/>
    <hyperlink ref="B82" r:id="rId55" location="name-role-value" xr:uid="{C2043346-CA44-40A6-8B71-28393B569EBD}"/>
    <hyperlink ref="B83" r:id="rId56" location="status-messages" xr:uid="{DE30DBB5-8263-42CE-9DF3-9AAE714B0532}"/>
    <hyperlink ref="E11" r:id="rId57" xr:uid="{6B81570C-235A-48D1-BD79-7ACCB14A71A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C45E-23BD-456B-8FE5-A2AD31DF5330}">
  <dimension ref="A1:O87"/>
  <sheetViews>
    <sheetView workbookViewId="0">
      <selection activeCell="E4" sqref="E4"/>
    </sheetView>
  </sheetViews>
  <sheetFormatPr defaultColWidth="0" defaultRowHeight="0"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305</v>
      </c>
    </row>
    <row r="3" spans="1:10" s="4" customFormat="1" ht="21.95" customHeight="1" x14ac:dyDescent="0.25">
      <c r="A3" s="53" t="s">
        <v>2</v>
      </c>
      <c r="B3" s="54"/>
      <c r="C3" s="5" t="s">
        <v>306</v>
      </c>
      <c r="F3" s="5"/>
    </row>
    <row r="4" spans="1:10" s="4" customFormat="1" ht="21.95" customHeight="1" x14ac:dyDescent="0.25">
      <c r="A4" s="53" t="s">
        <v>3</v>
      </c>
      <c r="B4" s="54"/>
    </row>
    <row r="5" spans="1:10" s="4" customFormat="1" ht="21.95" customHeight="1" x14ac:dyDescent="0.25">
      <c r="A5" s="53" t="s">
        <v>4</v>
      </c>
      <c r="B5" s="61"/>
      <c r="C5" s="6">
        <v>46123</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COUNTA(E17:E83)</f>
        <v>Total Number of Test: 55</v>
      </c>
      <c r="E10" s="7" t="str">
        <f>"Pass: " &amp; COUNTIF(E17:E83, "Pass")</f>
        <v>Pass: 28</v>
      </c>
      <c r="F10" s="8" t="str">
        <f>"Fail: " &amp; COUNTIF(E17:E83, "Fail")</f>
        <v>Fail: 4</v>
      </c>
      <c r="G10" s="9" t="str">
        <f>"Not applicable: " &amp; COUNTIF(E17:E83, "Not applicable")</f>
        <v>Not applicable: 23</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156</v>
      </c>
      <c r="J16" s="12"/>
    </row>
    <row r="17" spans="1:10" s="19" customFormat="1" ht="23.25" customHeight="1" x14ac:dyDescent="0.25">
      <c r="A17" s="22"/>
      <c r="B17" s="46" t="s">
        <v>24</v>
      </c>
      <c r="C17" s="24"/>
      <c r="D17" s="24"/>
      <c r="E17" s="24"/>
      <c r="F17" s="24"/>
      <c r="G17" s="24"/>
      <c r="H17" s="24"/>
      <c r="I17" s="24"/>
      <c r="J17" s="12"/>
    </row>
    <row r="18" spans="1:10" s="19" customFormat="1" ht="94.5" x14ac:dyDescent="0.25">
      <c r="A18" s="20">
        <v>2</v>
      </c>
      <c r="B18" s="47" t="s">
        <v>25</v>
      </c>
      <c r="C18" s="21" t="s">
        <v>22</v>
      </c>
      <c r="D18" s="20" t="s">
        <v>26</v>
      </c>
      <c r="E18" s="44" t="s">
        <v>241</v>
      </c>
      <c r="F18" s="20"/>
      <c r="G18" s="20"/>
      <c r="H18" s="25"/>
      <c r="I18" s="25"/>
    </row>
    <row r="19" spans="1:10" s="19" customFormat="1" ht="47.25" x14ac:dyDescent="0.25">
      <c r="A19" s="20">
        <v>3</v>
      </c>
      <c r="B19" s="47" t="s">
        <v>27</v>
      </c>
      <c r="C19" s="21" t="s">
        <v>22</v>
      </c>
      <c r="D19" s="20" t="s">
        <v>28</v>
      </c>
      <c r="E19" s="44" t="s">
        <v>241</v>
      </c>
      <c r="F19" s="20"/>
      <c r="G19" s="20"/>
      <c r="H19" s="25"/>
      <c r="I19" s="25"/>
    </row>
    <row r="20" spans="1:10" s="19" customFormat="1" ht="78.75" x14ac:dyDescent="0.25">
      <c r="A20" s="20">
        <v>4</v>
      </c>
      <c r="B20" s="47" t="s">
        <v>29</v>
      </c>
      <c r="C20" s="21" t="s">
        <v>22</v>
      </c>
      <c r="D20" s="20" t="s">
        <v>30</v>
      </c>
      <c r="E20" s="44" t="s">
        <v>241</v>
      </c>
      <c r="F20" s="20"/>
      <c r="G20" s="20"/>
      <c r="H20" s="25"/>
      <c r="I20" s="25"/>
    </row>
    <row r="21" spans="1:10" s="19" customFormat="1" ht="47.25" x14ac:dyDescent="0.25">
      <c r="A21" s="20">
        <v>5</v>
      </c>
      <c r="B21" s="47" t="s">
        <v>31</v>
      </c>
      <c r="C21" s="21" t="s">
        <v>32</v>
      </c>
      <c r="D21" s="20" t="s">
        <v>33</v>
      </c>
      <c r="E21" s="44" t="s">
        <v>241</v>
      </c>
      <c r="F21" s="20"/>
      <c r="G21" s="20"/>
      <c r="H21" s="25"/>
      <c r="I21" s="25"/>
    </row>
    <row r="22" spans="1:10" s="19" customFormat="1" ht="63" x14ac:dyDescent="0.25">
      <c r="A22" s="20">
        <v>6</v>
      </c>
      <c r="B22" s="47" t="s">
        <v>34</v>
      </c>
      <c r="C22" s="21" t="s">
        <v>32</v>
      </c>
      <c r="D22" s="20" t="s">
        <v>35</v>
      </c>
      <c r="E22" s="44" t="s">
        <v>241</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242</v>
      </c>
      <c r="F24" s="20" t="s">
        <v>307</v>
      </c>
      <c r="G24" s="20" t="s">
        <v>299</v>
      </c>
      <c r="H24" s="25" t="s">
        <v>308</v>
      </c>
      <c r="I24" s="25"/>
    </row>
    <row r="25" spans="1:10" s="19" customFormat="1" ht="94.5" x14ac:dyDescent="0.25">
      <c r="A25" s="20">
        <v>8</v>
      </c>
      <c r="B25" s="47" t="s">
        <v>39</v>
      </c>
      <c r="C25" s="21" t="s">
        <v>22</v>
      </c>
      <c r="D25" s="20" t="s">
        <v>40</v>
      </c>
      <c r="E25" s="44" t="s">
        <v>156</v>
      </c>
      <c r="F25" s="20"/>
      <c r="G25" s="20"/>
      <c r="H25" s="25"/>
      <c r="I25" s="25"/>
    </row>
    <row r="26" spans="1:10" s="19" customFormat="1" ht="126" x14ac:dyDescent="0.25">
      <c r="A26" s="20">
        <v>9</v>
      </c>
      <c r="B26" s="47" t="s">
        <v>42</v>
      </c>
      <c r="C26" s="21" t="s">
        <v>22</v>
      </c>
      <c r="D26" s="20" t="s">
        <v>43</v>
      </c>
      <c r="E26" s="44" t="s">
        <v>156</v>
      </c>
      <c r="F26" s="20"/>
      <c r="G26" s="20"/>
      <c r="H26" s="25"/>
      <c r="I26" s="25"/>
    </row>
    <row r="27" spans="1:10" s="19" customFormat="1" ht="94.5" x14ac:dyDescent="0.25">
      <c r="A27" s="20">
        <v>10</v>
      </c>
      <c r="B27" s="47" t="s">
        <v>44</v>
      </c>
      <c r="C27" s="21" t="s">
        <v>32</v>
      </c>
      <c r="D27" s="20" t="s">
        <v>45</v>
      </c>
      <c r="E27" s="44" t="s">
        <v>156</v>
      </c>
      <c r="F27" s="20"/>
      <c r="G27" s="20"/>
      <c r="H27" s="25"/>
      <c r="I27" s="25"/>
    </row>
    <row r="28" spans="1:10" s="19" customFormat="1" ht="78.75" x14ac:dyDescent="0.25">
      <c r="A28" s="20">
        <v>11</v>
      </c>
      <c r="B28" s="47" t="s">
        <v>46</v>
      </c>
      <c r="C28" s="21" t="s">
        <v>32</v>
      </c>
      <c r="D28" s="20" t="s">
        <v>47</v>
      </c>
      <c r="E28" s="44" t="s">
        <v>156</v>
      </c>
      <c r="F28" s="20"/>
      <c r="G28" s="20"/>
      <c r="H28" s="25"/>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156</v>
      </c>
      <c r="F30" s="20"/>
      <c r="G30" s="20"/>
      <c r="H30" s="25"/>
      <c r="I30" s="25"/>
    </row>
    <row r="31" spans="1:10" s="19" customFormat="1" ht="141.75" x14ac:dyDescent="0.25">
      <c r="A31" s="20">
        <v>13</v>
      </c>
      <c r="B31" s="47" t="s">
        <v>51</v>
      </c>
      <c r="C31" s="21" t="s">
        <v>22</v>
      </c>
      <c r="D31" s="20" t="s">
        <v>52</v>
      </c>
      <c r="E31" s="44" t="s">
        <v>241</v>
      </c>
      <c r="F31" s="20"/>
      <c r="G31" s="20"/>
      <c r="H31" s="25"/>
      <c r="I31" s="25"/>
    </row>
    <row r="32" spans="1:10" s="19" customFormat="1" ht="94.5" x14ac:dyDescent="0.25">
      <c r="A32" s="20">
        <v>14</v>
      </c>
      <c r="B32" s="47" t="s">
        <v>53</v>
      </c>
      <c r="C32" s="21" t="s">
        <v>32</v>
      </c>
      <c r="D32" s="20" t="s">
        <v>54</v>
      </c>
      <c r="E32" s="44" t="s">
        <v>156</v>
      </c>
      <c r="F32" s="20"/>
      <c r="G32" s="20"/>
      <c r="H32" s="25"/>
      <c r="I32" s="25"/>
    </row>
    <row r="33" spans="1:9" s="19" customFormat="1" ht="94.5" x14ac:dyDescent="0.25">
      <c r="A33" s="20">
        <v>15</v>
      </c>
      <c r="B33" s="47" t="s">
        <v>55</v>
      </c>
      <c r="C33" s="21" t="s">
        <v>32</v>
      </c>
      <c r="D33" s="20" t="s">
        <v>56</v>
      </c>
      <c r="E33" s="44" t="s">
        <v>156</v>
      </c>
      <c r="F33" s="20"/>
      <c r="G33" s="20"/>
      <c r="H33" s="25"/>
      <c r="I33" s="25"/>
    </row>
    <row r="34" spans="1:9" s="19" customFormat="1" ht="78.75" x14ac:dyDescent="0.25">
      <c r="A34" s="20">
        <v>16</v>
      </c>
      <c r="B34" s="47" t="s">
        <v>57</v>
      </c>
      <c r="C34" s="21" t="s">
        <v>32</v>
      </c>
      <c r="D34" s="20" t="s">
        <v>58</v>
      </c>
      <c r="E34" s="44" t="s">
        <v>156</v>
      </c>
      <c r="F34" s="20"/>
      <c r="G34" s="20"/>
      <c r="H34" s="25"/>
      <c r="I34" s="25"/>
    </row>
    <row r="35" spans="1:9" s="19" customFormat="1" ht="78.75" x14ac:dyDescent="0.25">
      <c r="A35" s="20">
        <v>17</v>
      </c>
      <c r="B35" s="47" t="s">
        <v>59</v>
      </c>
      <c r="C35" s="21" t="s">
        <v>32</v>
      </c>
      <c r="D35" s="20" t="s">
        <v>60</v>
      </c>
      <c r="E35" s="44" t="s">
        <v>156</v>
      </c>
      <c r="F35" s="44"/>
      <c r="G35" s="44"/>
      <c r="H35" s="44"/>
      <c r="I35" s="44"/>
    </row>
    <row r="36" spans="1:9" s="19" customFormat="1" ht="63" x14ac:dyDescent="0.25">
      <c r="A36" s="20">
        <v>18</v>
      </c>
      <c r="B36" s="47" t="s">
        <v>61</v>
      </c>
      <c r="C36" s="21" t="s">
        <v>32</v>
      </c>
      <c r="D36" s="20" t="s">
        <v>62</v>
      </c>
      <c r="E36" s="44" t="s">
        <v>156</v>
      </c>
      <c r="F36" s="20"/>
      <c r="G36" s="20"/>
      <c r="H36" s="25"/>
      <c r="I36" s="25"/>
    </row>
    <row r="37" spans="1:9" s="19" customFormat="1" ht="267.75" x14ac:dyDescent="0.25">
      <c r="A37" s="20">
        <v>19</v>
      </c>
      <c r="B37" s="47" t="s">
        <v>63</v>
      </c>
      <c r="C37" s="21" t="s">
        <v>41</v>
      </c>
      <c r="D37" s="20" t="s">
        <v>64</v>
      </c>
      <c r="E37" s="44" t="s">
        <v>156</v>
      </c>
      <c r="F37" s="20"/>
      <c r="G37" s="20"/>
      <c r="H37" s="25"/>
      <c r="I37" s="25"/>
    </row>
    <row r="38" spans="1:9" s="19" customFormat="1" ht="126" x14ac:dyDescent="0.25">
      <c r="A38" s="20">
        <v>20</v>
      </c>
      <c r="B38" s="47" t="s">
        <v>65</v>
      </c>
      <c r="C38" s="21" t="s">
        <v>32</v>
      </c>
      <c r="D38" s="20" t="s">
        <v>66</v>
      </c>
      <c r="E38" s="44" t="s">
        <v>156</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156</v>
      </c>
      <c r="F40" s="25"/>
      <c r="G40" s="25"/>
      <c r="H40" s="25"/>
      <c r="I40" s="25"/>
    </row>
    <row r="41" spans="1:9" s="19" customFormat="1" ht="110.25" x14ac:dyDescent="0.25">
      <c r="A41" s="20">
        <v>22</v>
      </c>
      <c r="B41" s="47" t="s">
        <v>70</v>
      </c>
      <c r="C41" s="21" t="s">
        <v>22</v>
      </c>
      <c r="D41" s="20" t="s">
        <v>71</v>
      </c>
      <c r="E41" s="44" t="s">
        <v>156</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241</v>
      </c>
      <c r="F43" s="20"/>
      <c r="G43" s="20"/>
      <c r="H43" s="25"/>
      <c r="I43" s="25"/>
    </row>
    <row r="44" spans="1:9" s="19" customFormat="1" ht="315" x14ac:dyDescent="0.25">
      <c r="A44" s="20">
        <v>24</v>
      </c>
      <c r="B44" s="47" t="s">
        <v>75</v>
      </c>
      <c r="C44" s="21" t="s">
        <v>22</v>
      </c>
      <c r="D44" s="20" t="s">
        <v>76</v>
      </c>
      <c r="E44" s="44" t="s">
        <v>241</v>
      </c>
      <c r="F44" s="20"/>
      <c r="G44" s="20"/>
      <c r="H44" s="25"/>
      <c r="I44" s="25"/>
    </row>
    <row r="45" spans="1:9" s="19" customFormat="1" ht="126" x14ac:dyDescent="0.25">
      <c r="A45" s="20">
        <v>25</v>
      </c>
      <c r="B45" s="47" t="s">
        <v>77</v>
      </c>
      <c r="C45" s="21" t="s">
        <v>22</v>
      </c>
      <c r="D45" s="20" t="s">
        <v>78</v>
      </c>
      <c r="E45" s="44" t="s">
        <v>241</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241</v>
      </c>
      <c r="F47" s="20"/>
      <c r="G47" s="20"/>
      <c r="H47" s="25"/>
      <c r="I47" s="25"/>
    </row>
    <row r="48" spans="1:9" s="19" customFormat="1" ht="24.75" customHeight="1" x14ac:dyDescent="0.25">
      <c r="A48" s="22"/>
      <c r="B48" s="46" t="s">
        <v>82</v>
      </c>
      <c r="C48" s="27"/>
      <c r="D48" s="28"/>
      <c r="E48" s="28"/>
      <c r="F48" s="28"/>
      <c r="G48" s="28"/>
      <c r="H48" s="28"/>
      <c r="I48" s="28"/>
    </row>
    <row r="49" spans="1:9" s="19" customFormat="1" ht="94.5" x14ac:dyDescent="0.25">
      <c r="A49" s="20">
        <v>27</v>
      </c>
      <c r="B49" s="47" t="s">
        <v>83</v>
      </c>
      <c r="C49" s="21" t="s">
        <v>22</v>
      </c>
      <c r="D49" s="20" t="s">
        <v>84</v>
      </c>
      <c r="E49" s="44" t="s">
        <v>242</v>
      </c>
      <c r="F49" s="20" t="s">
        <v>243</v>
      </c>
      <c r="G49" s="20" t="s">
        <v>300</v>
      </c>
      <c r="H49" s="25" t="s">
        <v>244</v>
      </c>
      <c r="I49" s="25"/>
    </row>
    <row r="50" spans="1:9" s="19" customFormat="1" ht="31.5" x14ac:dyDescent="0.25">
      <c r="A50" s="20">
        <v>28</v>
      </c>
      <c r="B50" s="47" t="s">
        <v>85</v>
      </c>
      <c r="C50" s="21" t="s">
        <v>22</v>
      </c>
      <c r="D50" s="20" t="s">
        <v>86</v>
      </c>
      <c r="E50" s="44" t="s">
        <v>242</v>
      </c>
      <c r="F50" s="20" t="s">
        <v>297</v>
      </c>
      <c r="G50" s="20" t="s">
        <v>268</v>
      </c>
      <c r="H50" s="20" t="s">
        <v>286</v>
      </c>
      <c r="I50" s="25"/>
    </row>
    <row r="51" spans="1:9" s="19" customFormat="1" ht="126" x14ac:dyDescent="0.25">
      <c r="A51" s="20">
        <v>29</v>
      </c>
      <c r="B51" s="47" t="s">
        <v>87</v>
      </c>
      <c r="C51" s="21" t="s">
        <v>22</v>
      </c>
      <c r="D51" s="20" t="s">
        <v>88</v>
      </c>
      <c r="E51" s="44" t="s">
        <v>241</v>
      </c>
      <c r="I51" s="25"/>
    </row>
    <row r="52" spans="1:9" s="19" customFormat="1" ht="94.5" x14ac:dyDescent="0.25">
      <c r="A52" s="20">
        <v>30</v>
      </c>
      <c r="B52" s="47" t="s">
        <v>89</v>
      </c>
      <c r="C52" s="21" t="s">
        <v>22</v>
      </c>
      <c r="D52" s="20" t="s">
        <v>90</v>
      </c>
      <c r="E52" s="44" t="s">
        <v>156</v>
      </c>
      <c r="F52" s="20"/>
      <c r="G52" s="20"/>
      <c r="H52" s="25"/>
      <c r="I52" s="25"/>
    </row>
    <row r="53" spans="1:9" s="19" customFormat="1" ht="94.5" x14ac:dyDescent="0.25">
      <c r="A53" s="20">
        <v>31</v>
      </c>
      <c r="B53" s="47" t="s">
        <v>91</v>
      </c>
      <c r="C53" s="21" t="s">
        <v>32</v>
      </c>
      <c r="D53" s="20" t="s">
        <v>92</v>
      </c>
      <c r="E53" s="44" t="s">
        <v>156</v>
      </c>
      <c r="F53" s="20"/>
      <c r="G53" s="20"/>
      <c r="H53" s="25"/>
      <c r="I53" s="25"/>
    </row>
    <row r="54" spans="1:9" s="19" customFormat="1" ht="31.5" x14ac:dyDescent="0.25">
      <c r="A54" s="20">
        <v>32</v>
      </c>
      <c r="B54" s="47" t="s">
        <v>93</v>
      </c>
      <c r="C54" s="21" t="s">
        <v>32</v>
      </c>
      <c r="D54" s="20" t="s">
        <v>94</v>
      </c>
      <c r="E54" s="44" t="s">
        <v>156</v>
      </c>
      <c r="F54" s="20"/>
      <c r="G54" s="20"/>
      <c r="H54" s="25"/>
      <c r="I54" s="25"/>
    </row>
    <row r="55" spans="1:9" s="19" customFormat="1" ht="63" x14ac:dyDescent="0.25">
      <c r="A55" s="20">
        <v>33</v>
      </c>
      <c r="B55" s="47" t="s">
        <v>95</v>
      </c>
      <c r="C55" s="21" t="s">
        <v>32</v>
      </c>
      <c r="D55" s="20" t="s">
        <v>96</v>
      </c>
      <c r="E55" s="44" t="s">
        <v>156</v>
      </c>
      <c r="F55" s="20"/>
      <c r="G55" s="50"/>
      <c r="H55" s="25"/>
      <c r="I55" s="25"/>
    </row>
    <row r="56" spans="1:9" s="19" customFormat="1" ht="78.75" x14ac:dyDescent="0.25">
      <c r="A56" s="20">
        <v>34</v>
      </c>
      <c r="B56" s="47" t="s">
        <v>97</v>
      </c>
      <c r="C56" s="21" t="s">
        <v>32</v>
      </c>
      <c r="D56" s="20" t="s">
        <v>98</v>
      </c>
      <c r="E56" s="44" t="s">
        <v>156</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241</v>
      </c>
      <c r="F58" s="20"/>
      <c r="G58" s="20"/>
      <c r="H58" s="25"/>
      <c r="I58" s="25"/>
    </row>
    <row r="59" spans="1:9" s="19" customFormat="1" ht="220.5" x14ac:dyDescent="0.25">
      <c r="A59" s="20">
        <v>36</v>
      </c>
      <c r="B59" s="47" t="s">
        <v>102</v>
      </c>
      <c r="C59" s="21" t="s">
        <v>22</v>
      </c>
      <c r="D59" s="20" t="s">
        <v>103</v>
      </c>
      <c r="E59" s="44" t="s">
        <v>241</v>
      </c>
      <c r="F59" s="20"/>
      <c r="G59" s="20"/>
      <c r="H59" s="25"/>
      <c r="I59" s="25"/>
    </row>
    <row r="60" spans="1:9" s="19" customFormat="1" ht="78.75" x14ac:dyDescent="0.25">
      <c r="A60" s="20">
        <v>37</v>
      </c>
      <c r="B60" s="47" t="s">
        <v>104</v>
      </c>
      <c r="C60" s="21" t="s">
        <v>22</v>
      </c>
      <c r="D60" s="20" t="s">
        <v>105</v>
      </c>
      <c r="E60" s="44" t="s">
        <v>156</v>
      </c>
      <c r="F60" s="20"/>
      <c r="G60" s="20"/>
      <c r="H60" s="25"/>
      <c r="I60" s="25"/>
    </row>
    <row r="61" spans="1:9" s="19" customFormat="1" ht="110.25" x14ac:dyDescent="0.25">
      <c r="A61" s="20">
        <v>38</v>
      </c>
      <c r="B61" s="47" t="s">
        <v>106</v>
      </c>
      <c r="C61" s="21" t="s">
        <v>22</v>
      </c>
      <c r="D61" s="20" t="s">
        <v>147</v>
      </c>
      <c r="E61" s="44" t="s">
        <v>156</v>
      </c>
      <c r="F61" s="20"/>
      <c r="G61" s="20"/>
      <c r="H61" s="25"/>
      <c r="I61" s="25"/>
    </row>
    <row r="62" spans="1:9" s="19" customFormat="1" ht="141.75" x14ac:dyDescent="0.25">
      <c r="A62" s="20">
        <v>39</v>
      </c>
      <c r="B62" s="47" t="s">
        <v>107</v>
      </c>
      <c r="C62" s="21" t="s">
        <v>32</v>
      </c>
      <c r="D62" s="20" t="s">
        <v>108</v>
      </c>
      <c r="E62" s="44" t="s">
        <v>241</v>
      </c>
      <c r="F62" s="20"/>
      <c r="G62" s="20"/>
      <c r="H62" s="25"/>
      <c r="I62" s="25"/>
    </row>
    <row r="63" spans="1:9" s="19" customFormat="1" ht="47.25" x14ac:dyDescent="0.25">
      <c r="A63" s="25">
        <v>40</v>
      </c>
      <c r="B63" s="47" t="s">
        <v>109</v>
      </c>
      <c r="C63" s="21" t="s">
        <v>32</v>
      </c>
      <c r="D63" s="20" t="s">
        <v>110</v>
      </c>
      <c r="E63" s="44" t="s">
        <v>156</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156</v>
      </c>
      <c r="F65" s="20"/>
      <c r="G65" s="20"/>
      <c r="H65" s="25"/>
      <c r="I65" s="25"/>
    </row>
    <row r="66" spans="1:9" s="19" customFormat="1" ht="78.75" x14ac:dyDescent="0.25">
      <c r="A66" s="20">
        <v>42</v>
      </c>
      <c r="B66" s="47" t="s">
        <v>114</v>
      </c>
      <c r="C66" s="21" t="s">
        <v>32</v>
      </c>
      <c r="D66" s="20" t="s">
        <v>115</v>
      </c>
      <c r="E66" s="44" t="s">
        <v>241</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241</v>
      </c>
      <c r="F68" s="20"/>
      <c r="G68" s="20"/>
      <c r="H68" s="25"/>
      <c r="I68" s="25"/>
    </row>
    <row r="69" spans="1:9" s="19" customFormat="1" ht="110.25" x14ac:dyDescent="0.25">
      <c r="A69" s="20">
        <v>44</v>
      </c>
      <c r="B69" s="47" t="s">
        <v>119</v>
      </c>
      <c r="C69" s="21" t="s">
        <v>22</v>
      </c>
      <c r="D69" s="20" t="s">
        <v>120</v>
      </c>
      <c r="E69" s="44" t="s">
        <v>241</v>
      </c>
      <c r="F69" s="20"/>
      <c r="H69" s="20"/>
      <c r="I69" s="20"/>
    </row>
    <row r="70" spans="1:9" s="19" customFormat="1" ht="110.25" x14ac:dyDescent="0.25">
      <c r="A70" s="20">
        <v>45</v>
      </c>
      <c r="B70" s="47" t="s">
        <v>121</v>
      </c>
      <c r="C70" s="21" t="s">
        <v>32</v>
      </c>
      <c r="D70" s="20" t="s">
        <v>122</v>
      </c>
      <c r="E70" s="44" t="s">
        <v>156</v>
      </c>
      <c r="F70" s="20"/>
      <c r="G70" s="20"/>
      <c r="H70" s="25"/>
      <c r="I70" s="25"/>
    </row>
    <row r="71" spans="1:9" s="19" customFormat="1" ht="63" x14ac:dyDescent="0.25">
      <c r="A71" s="20">
        <v>46</v>
      </c>
      <c r="B71" s="47" t="s">
        <v>123</v>
      </c>
      <c r="C71" s="21" t="s">
        <v>32</v>
      </c>
      <c r="D71" s="20" t="s">
        <v>124</v>
      </c>
      <c r="E71" s="44" t="s">
        <v>156</v>
      </c>
      <c r="F71" s="20"/>
      <c r="G71" s="20"/>
      <c r="H71" s="25"/>
      <c r="I71" s="25"/>
    </row>
    <row r="72" spans="1:9" s="19" customFormat="1" ht="220.5" x14ac:dyDescent="0.25">
      <c r="A72" s="30">
        <v>47</v>
      </c>
      <c r="B72" s="47" t="s">
        <v>125</v>
      </c>
      <c r="C72" s="21" t="s">
        <v>22</v>
      </c>
      <c r="D72" s="20" t="s">
        <v>126</v>
      </c>
      <c r="E72" s="44" t="s">
        <v>156</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242</v>
      </c>
      <c r="F74" s="20" t="s">
        <v>317</v>
      </c>
      <c r="G74" s="20" t="s">
        <v>161</v>
      </c>
      <c r="H74" s="25" t="s">
        <v>318</v>
      </c>
      <c r="I74" s="25"/>
    </row>
    <row r="75" spans="1:9" s="19" customFormat="1" ht="47.25" x14ac:dyDescent="0.25">
      <c r="A75" s="20">
        <v>49</v>
      </c>
      <c r="B75" s="47" t="s">
        <v>130</v>
      </c>
      <c r="C75" s="21" t="s">
        <v>22</v>
      </c>
      <c r="D75" s="20" t="s">
        <v>131</v>
      </c>
      <c r="E75" s="44" t="s">
        <v>241</v>
      </c>
      <c r="G75" s="20"/>
      <c r="H75" s="25"/>
      <c r="I75" s="25"/>
    </row>
    <row r="76" spans="1:9" s="19" customFormat="1" ht="126" x14ac:dyDescent="0.25">
      <c r="A76" s="20">
        <v>50</v>
      </c>
      <c r="B76" s="47" t="s">
        <v>132</v>
      </c>
      <c r="C76" s="21" t="s">
        <v>32</v>
      </c>
      <c r="D76" s="20" t="s">
        <v>133</v>
      </c>
      <c r="E76" s="44" t="s">
        <v>241</v>
      </c>
      <c r="F76" s="20"/>
      <c r="G76" s="20"/>
      <c r="H76" s="25"/>
      <c r="I76" s="25"/>
    </row>
    <row r="77" spans="1:9" s="19" customFormat="1" ht="173.25" x14ac:dyDescent="0.25">
      <c r="A77" s="20">
        <v>51</v>
      </c>
      <c r="B77" s="47" t="s">
        <v>134</v>
      </c>
      <c r="C77" s="21" t="s">
        <v>32</v>
      </c>
      <c r="D77" s="20" t="s">
        <v>135</v>
      </c>
      <c r="E77" s="44" t="s">
        <v>241</v>
      </c>
      <c r="F77" s="20"/>
      <c r="G77" s="20"/>
      <c r="H77" s="25"/>
      <c r="I77" s="25"/>
    </row>
    <row r="78" spans="1:9" s="19" customFormat="1" ht="126" x14ac:dyDescent="0.25">
      <c r="A78" s="34">
        <v>52</v>
      </c>
      <c r="B78" s="47" t="s">
        <v>136</v>
      </c>
      <c r="C78" s="35" t="s">
        <v>22</v>
      </c>
      <c r="D78" s="36" t="s">
        <v>137</v>
      </c>
      <c r="E78" s="44" t="s">
        <v>241</v>
      </c>
      <c r="F78" s="36"/>
      <c r="G78" s="36"/>
      <c r="H78" s="36"/>
      <c r="I78" s="36"/>
    </row>
    <row r="79" spans="1:9" s="19" customFormat="1" ht="346.5" x14ac:dyDescent="0.25">
      <c r="A79" s="34">
        <v>53</v>
      </c>
      <c r="B79" s="47" t="s">
        <v>138</v>
      </c>
      <c r="C79" s="35" t="s">
        <v>32</v>
      </c>
      <c r="D79" s="36" t="s">
        <v>139</v>
      </c>
      <c r="E79" s="44" t="s">
        <v>241</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156</v>
      </c>
      <c r="F81" s="20"/>
      <c r="G81" s="20"/>
      <c r="H81" s="25"/>
      <c r="I81" s="25"/>
    </row>
    <row r="82" spans="1:9" s="19" customFormat="1" ht="236.25" x14ac:dyDescent="0.25">
      <c r="A82" s="20">
        <v>55</v>
      </c>
      <c r="B82" s="47" t="s">
        <v>143</v>
      </c>
      <c r="C82" s="40" t="s">
        <v>22</v>
      </c>
      <c r="D82" s="41" t="s">
        <v>144</v>
      </c>
      <c r="E82" s="44" t="s">
        <v>156</v>
      </c>
      <c r="F82" s="20"/>
      <c r="G82" s="20"/>
      <c r="H82" s="25"/>
      <c r="I82" s="25"/>
    </row>
    <row r="83" spans="1:9" s="19" customFormat="1" ht="141.75" x14ac:dyDescent="0.25">
      <c r="A83" s="20">
        <v>56</v>
      </c>
      <c r="B83" s="47" t="s">
        <v>145</v>
      </c>
      <c r="C83" s="21" t="s">
        <v>32</v>
      </c>
      <c r="D83" s="20" t="s">
        <v>146</v>
      </c>
      <c r="E83" s="44" t="s">
        <v>241</v>
      </c>
      <c r="F83" s="20"/>
      <c r="G83" s="20"/>
      <c r="H83" s="25"/>
      <c r="I83" s="25"/>
    </row>
    <row r="84" spans="1:9" s="19" customFormat="1" ht="15.75" x14ac:dyDescent="0.25">
      <c r="C84" s="42"/>
    </row>
    <row r="85" spans="1:9" s="19" customFormat="1" ht="15.75" x14ac:dyDescent="0.25">
      <c r="C85" s="42"/>
    </row>
    <row r="86" spans="1:9" s="19" customFormat="1" ht="15.75" x14ac:dyDescent="0.25">
      <c r="C86" s="42"/>
    </row>
    <row r="87" spans="1:9" ht="15" x14ac:dyDescent="0.25">
      <c r="I87" s="12"/>
    </row>
  </sheetData>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107" priority="14">
      <formula>E1="Not Applicable"</formula>
    </cfRule>
    <cfRule type="expression" dxfId="106" priority="15">
      <formula>E1="Fail"</formula>
    </cfRule>
    <cfRule type="expression" dxfId="105" priority="16">
      <formula>E1="Pass"</formula>
    </cfRule>
  </conditionalFormatting>
  <conditionalFormatting sqref="E13:E15 E84:E1048576">
    <cfRule type="expression" dxfId="104" priority="18">
      <formula>E13="Not Applicable"</formula>
    </cfRule>
    <cfRule type="expression" dxfId="103" priority="19">
      <formula>E13="Fail"</formula>
    </cfRule>
    <cfRule type="expression" dxfId="102" priority="20">
      <formula>E13="Pass"</formula>
    </cfRule>
  </conditionalFormatting>
  <conditionalFormatting sqref="F1:G2 G3 F4:G10 I14:I15 I17:I34 I36:I39 I41:I50 I52:I87 F84:H1048576">
    <cfRule type="expression" dxfId="101" priority="13">
      <formula>AND($E1="Fail", COUNTA($F1:$H1)&gt;0)</formula>
    </cfRule>
  </conditionalFormatting>
  <conditionalFormatting sqref="I35">
    <cfRule type="expression" dxfId="100" priority="10">
      <formula>I35="Not Applicable"</formula>
    </cfRule>
    <cfRule type="expression" dxfId="99" priority="11">
      <formula>I35="Fail"</formula>
    </cfRule>
    <cfRule type="expression" dxfId="98" priority="12">
      <formula>I35="Pass"</formula>
    </cfRule>
  </conditionalFormatting>
  <conditionalFormatting sqref="I40">
    <cfRule type="expression" dxfId="97" priority="22">
      <formula>AND($E40="Fail", COUNTA(#REF!)&gt;0)</formula>
    </cfRule>
  </conditionalFormatting>
  <conditionalFormatting sqref="H1:H11 F13:H15">
    <cfRule type="expression" dxfId="96" priority="17">
      <formula>AND($E1="Fail", COUNTA($F1:$H1)&gt;0)</formula>
    </cfRule>
  </conditionalFormatting>
  <conditionalFormatting sqref="I51">
    <cfRule type="expression" dxfId="95" priority="21">
      <formula>AND($E51="Fail", COUNTA($F40:$H40)&gt;0)</formula>
    </cfRule>
  </conditionalFormatting>
  <conditionalFormatting sqref="E16:E83">
    <cfRule type="expression" dxfId="94" priority="6">
      <formula>E16="Not Applicable"</formula>
    </cfRule>
    <cfRule type="expression" dxfId="93" priority="7">
      <formula>E16="Fail"</formula>
    </cfRule>
    <cfRule type="expression" dxfId="92" priority="8">
      <formula>E16="Pass"</formula>
    </cfRule>
  </conditionalFormatting>
  <conditionalFormatting sqref="F17:H34 F36:H39 F41:H50 F52:H68 F70:H83">
    <cfRule type="expression" dxfId="91" priority="4">
      <formula>AND($E17="Fail", COUNTA($F17:$H17)&gt;0)</formula>
    </cfRule>
  </conditionalFormatting>
  <conditionalFormatting sqref="F35:H35">
    <cfRule type="expression" dxfId="90" priority="1">
      <formula>F35="Not Applicable"</formula>
    </cfRule>
    <cfRule type="expression" dxfId="89" priority="2">
      <formula>F35="Fail"</formula>
    </cfRule>
    <cfRule type="expression" dxfId="88" priority="3">
      <formula>F35="Pass"</formula>
    </cfRule>
  </conditionalFormatting>
  <conditionalFormatting sqref="F40:H40">
    <cfRule type="expression" dxfId="87" priority="9">
      <formula>AND($E40="Fail", COUNTA(#REF!)&gt;0)</formula>
    </cfRule>
  </conditionalFormatting>
  <conditionalFormatting sqref="F69 H69">
    <cfRule type="expression" dxfId="86" priority="5">
      <formula>AND($E69="Fail", COUNTA($F69:$H69)&gt;0)</formula>
    </cfRule>
  </conditionalFormatting>
  <hyperlinks>
    <hyperlink ref="B16" r:id="rId1" location="non-text-content" xr:uid="{62C4815F-C7DE-4085-8A3F-A407B979BCAF}"/>
    <hyperlink ref="B24" r:id="rId2" location="info-and-relationships" xr:uid="{B974620C-38AF-410F-9C0B-F29C69A0709C}"/>
    <hyperlink ref="B18" r:id="rId3" location="audio-only-and-video-only-prerecorded" xr:uid="{740B3C8B-498F-402B-9F0F-3E6554380725}"/>
    <hyperlink ref="B19" r:id="rId4" location="captions-prerecorded" xr:uid="{DA757AFA-ABEF-40A8-8261-3C97FEC929FD}"/>
    <hyperlink ref="B20" r:id="rId5" location="audio-description-or-media-alternative-prerecorded" xr:uid="{BEF313EB-2436-4C3B-904F-BA21C0B8502B}"/>
    <hyperlink ref="B21" r:id="rId6" location="captions-live" xr:uid="{41A4DC2D-72DC-4CC2-9E55-A6FD99905ABF}"/>
    <hyperlink ref="B22" r:id="rId7" location="audio-description-prerecorded" xr:uid="{62690AD1-0DB3-4D62-B899-929A0D80DF47}"/>
    <hyperlink ref="B25" r:id="rId8" location="meaningful-sequence" xr:uid="{CAC6C87B-E3E3-4540-9ED3-63A17AA192CC}"/>
    <hyperlink ref="B26" r:id="rId9" location="sensory-characteristics" xr:uid="{F3A3B9E6-9E98-4EC3-99F6-6E3049BD3FDD}"/>
    <hyperlink ref="B27" r:id="rId10" location="orientation" xr:uid="{6884BD77-75E0-4970-9D6E-C6A0D2C6BDA0}"/>
    <hyperlink ref="B28" r:id="rId11" location="identify-input-purpose" xr:uid="{906AA9A0-C80F-48CD-9416-F8CEE55C3BE5}"/>
    <hyperlink ref="B30" r:id="rId12" location="use-of-color" xr:uid="{88571C27-9E10-4335-8568-1473D1175C20}"/>
    <hyperlink ref="B31" r:id="rId13" location="audio-control" xr:uid="{B96E4D48-3B66-4DF3-91DD-307FC539F08B}"/>
    <hyperlink ref="B32" r:id="rId14" location="contrast-minimum" xr:uid="{227C56D2-390F-473C-93A9-D4D4DFD54F40}"/>
    <hyperlink ref="B33" r:id="rId15" location="resize-text" xr:uid="{EA4C5FE3-0340-49AC-8222-CE2A5C598923}"/>
    <hyperlink ref="B34" r:id="rId16" location="images-of-text" xr:uid="{D0A10F2D-8C23-4946-8AD2-1C168F6D2117}"/>
    <hyperlink ref="B35" r:id="rId17" location="reflow" xr:uid="{8C9AE383-0F3C-44CF-8238-54D4D0F749FE}"/>
    <hyperlink ref="B36" r:id="rId18" location="non-text-contrast" xr:uid="{35DC70E1-B0D4-4EDD-AC97-BD4A2D4F077A}"/>
    <hyperlink ref="B37" r:id="rId19" location="text-spacing" xr:uid="{1D7B9722-D42C-4CA2-B3B7-B9245864B965}"/>
    <hyperlink ref="B38" r:id="rId20" location="content-on-hover-or-focus" xr:uid="{A9B57696-A528-4E90-91C3-5D695FCD22F9}"/>
    <hyperlink ref="B40" r:id="rId21" location="keyboard" xr:uid="{B54332EB-5E56-469F-BEFD-DFAF1177408C}"/>
    <hyperlink ref="B41" r:id="rId22" location="no-keyboard-trap" xr:uid="{BBF4E671-E51E-4738-81E0-A21E1477A341}"/>
    <hyperlink ref="B43" r:id="rId23" location="character-key-shortcuts" xr:uid="{78A11E4C-A7D4-42DC-8441-3526E7D62E43}"/>
    <hyperlink ref="B44" r:id="rId24" location="timing-adjustable" xr:uid="{AA3EB4E4-7CE8-4DBA-8339-21E63CECAFD2}"/>
    <hyperlink ref="B45" r:id="rId25" location="pause-stop-hide" xr:uid="{9B11A120-FA29-4D96-88F0-3590686FBFB2}"/>
    <hyperlink ref="B47" r:id="rId26" location="three-flashes-or-below-threshold" xr:uid="{0764F75A-B306-427C-A1B3-3300F3F4310E}"/>
    <hyperlink ref="B49" r:id="rId27" location="bypass-blocks" xr:uid="{FBEFEBC1-7B27-4A4D-82EA-7E8D2E8410D8}"/>
    <hyperlink ref="B50" r:id="rId28" location="page-titled" xr:uid="{CC38DBE4-0189-428C-8E8B-3ACA5DC2C4BF}"/>
    <hyperlink ref="B51" r:id="rId29" location="focus-order" xr:uid="{FF78AE05-E86F-418D-88A5-69335DF2B568}"/>
    <hyperlink ref="B52" r:id="rId30" location="link-purpose-in-context" xr:uid="{5E3D0AF3-47A3-4A20-A5F3-902630CBA88E}"/>
    <hyperlink ref="B53" r:id="rId31" location="multiple-ways" xr:uid="{D0C56655-748E-4F01-B791-4BFE90584D86}"/>
    <hyperlink ref="B54" r:id="rId32" location="headings-and-labels" xr:uid="{CC6332F3-AA09-4C11-A5BE-C9B7CDE9B361}"/>
    <hyperlink ref="B55" r:id="rId33" location="focus-visible" xr:uid="{00B6C74A-CC6D-4AFB-B41E-4FA3CBA6B122}"/>
    <hyperlink ref="B56" r:id="rId34" location="focus-not-obscured-minimum" xr:uid="{32433E49-5280-4245-8D30-83306395057F}"/>
    <hyperlink ref="B58" r:id="rId35" location="pointer-gestures" xr:uid="{E722D8B6-3A3A-4957-9656-3EFA84FCA353}"/>
    <hyperlink ref="B59" r:id="rId36" location="pointer-cancellation" xr:uid="{2E048788-10D7-4B4C-B0AB-3F91A74E9EE5}"/>
    <hyperlink ref="B60" r:id="rId37" location="label-in-name" xr:uid="{77AC4D0F-76E9-4EC9-BF61-1ADC25D363EC}"/>
    <hyperlink ref="B61" r:id="rId38" location="motion-actuation" xr:uid="{CFD9B281-459A-49B8-AB07-1F793FAFAF62}"/>
    <hyperlink ref="B62" r:id="rId39" location="dragging-movements" xr:uid="{62EC43C2-CAA9-48B8-B5D3-5DFAD8F93A44}"/>
    <hyperlink ref="B63" r:id="rId40" location="target-size-minimum" xr:uid="{54FBB832-D135-44D1-A3B8-956C65C55FF1}"/>
    <hyperlink ref="B65" r:id="rId41" location="language-of-page" xr:uid="{48ED75A9-A99E-4DAC-B926-FC15322D7F15}"/>
    <hyperlink ref="B66" r:id="rId42" location="language-of-parts" xr:uid="{03131B76-3AAA-40E3-8831-AC1B65459666}"/>
    <hyperlink ref="B68" r:id="rId43" location="on-focus" xr:uid="{7FB85936-4B03-428B-B788-B66DC52662C3}"/>
    <hyperlink ref="B69" r:id="rId44" location="on-input" xr:uid="{B446EDE1-2123-4D18-94F5-3F35113AB9D2}"/>
    <hyperlink ref="B70" r:id="rId45" location="consistent-navigation" xr:uid="{0A03DC28-599B-46D3-A009-3B4E88836709}"/>
    <hyperlink ref="B71" r:id="rId46" location="consistent-identification" xr:uid="{A46A53D5-8D61-43CC-AA51-C31B1FF6BA3F}"/>
    <hyperlink ref="B72" r:id="rId47" location="consistent-help" xr:uid="{731B881B-4DA3-45EC-AF97-A83A26ED1925}"/>
    <hyperlink ref="B74" r:id="rId48" location="error-identification" xr:uid="{F2602056-9EA3-4097-A480-9A61E3AD91CB}"/>
    <hyperlink ref="B75" r:id="rId49" location="labels-or-instructions" xr:uid="{FBD60A7F-C0D5-4E6B-B797-AA8F2E7898E2}"/>
    <hyperlink ref="B76" r:id="rId50" location="error-suggestion" xr:uid="{262AF6C0-C8CE-470E-B857-FCA10D58C318}"/>
    <hyperlink ref="B77" r:id="rId51" location="error-prevention-legal-financial-data" xr:uid="{A9B5AA28-44A1-4170-A54B-5A81DD059C20}"/>
    <hyperlink ref="B78" r:id="rId52" location="redundant-entry" xr:uid="{247A377F-F278-45E5-908A-92DD9A322311}"/>
    <hyperlink ref="B79" r:id="rId53" location="accessible-authentication-minimum" xr:uid="{C1419D8E-BFC0-428F-B7D0-6132A437AD97}"/>
    <hyperlink ref="B81" r:id="rId54" location="parsing" xr:uid="{690391C3-8E2F-4919-B7F1-300B633CB0E5}"/>
    <hyperlink ref="B82" r:id="rId55" location="name-role-value" xr:uid="{9B8E9935-6C7E-4A89-8021-FE3C3AA1CA5D}"/>
    <hyperlink ref="B83" r:id="rId56" location="status-messages" xr:uid="{5EC5F589-F7EC-474F-8F72-A843F4C77CA9}"/>
    <hyperlink ref="E11" r:id="rId57" xr:uid="{CACE9C1F-1F8A-43AA-9B89-414363F8419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A3EF-F706-48E4-8F06-6C809BA6F5ED}">
  <sheetPr>
    <tabColor rgb="FFFFC000"/>
  </sheetPr>
  <dimension ref="A1:O87"/>
  <sheetViews>
    <sheetView topLeftCell="B1" workbookViewId="0">
      <selection activeCell="C2" sqref="C2"/>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162</v>
      </c>
    </row>
    <row r="3" spans="1:10" s="4" customFormat="1" ht="21.95" customHeight="1" x14ac:dyDescent="0.25">
      <c r="A3" s="53" t="s">
        <v>2</v>
      </c>
      <c r="B3" s="54"/>
      <c r="C3" s="5" t="s">
        <v>163</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41</v>
      </c>
      <c r="F24" s="20"/>
      <c r="G24" s="20"/>
      <c r="H24" s="25"/>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164</v>
      </c>
      <c r="G28" s="20" t="s">
        <v>165</v>
      </c>
      <c r="H28" s="25" t="s">
        <v>166</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155</v>
      </c>
      <c r="F32" s="20" t="s">
        <v>167</v>
      </c>
      <c r="G32" s="20" t="s">
        <v>168</v>
      </c>
      <c r="H32" s="25" t="s">
        <v>157</v>
      </c>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155</v>
      </c>
      <c r="F35" s="20" t="s">
        <v>169</v>
      </c>
      <c r="G35" s="20" t="s">
        <v>170</v>
      </c>
      <c r="H35" s="20" t="s">
        <v>171</v>
      </c>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41</v>
      </c>
      <c r="F74" s="20"/>
      <c r="G74" s="20"/>
      <c r="H74" s="25"/>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C12:H12"/>
    <mergeCell ref="A8:B8"/>
    <mergeCell ref="A9:B9"/>
    <mergeCell ref="A10:B10"/>
    <mergeCell ref="A12:B12"/>
    <mergeCell ref="A7:B7"/>
    <mergeCell ref="A11:B11"/>
    <mergeCell ref="A2:B2"/>
    <mergeCell ref="A3:B3"/>
    <mergeCell ref="A4:B4"/>
    <mergeCell ref="A5:B5"/>
    <mergeCell ref="A6:B6"/>
  </mergeCells>
  <conditionalFormatting sqref="E1:E10">
    <cfRule type="expression" dxfId="398" priority="14">
      <formula>E1="Not Applicable"</formula>
    </cfRule>
    <cfRule type="expression" dxfId="397" priority="15">
      <formula>E1="Fail"</formula>
    </cfRule>
    <cfRule type="expression" dxfId="396" priority="16">
      <formula>E1="Pass"</formula>
    </cfRule>
  </conditionalFormatting>
  <conditionalFormatting sqref="E13:E1048576">
    <cfRule type="expression" dxfId="395" priority="5">
      <formula>E13="Not Applicable"</formula>
    </cfRule>
    <cfRule type="expression" dxfId="394" priority="6">
      <formula>E13="Fail"</formula>
    </cfRule>
    <cfRule type="expression" dxfId="393" priority="7">
      <formula>E13="Pass"</formula>
    </cfRule>
  </conditionalFormatting>
  <conditionalFormatting sqref="F1:G2 G3 F4:G10 F41:I50 F52:H68 I52:I87 F70:H1048576">
    <cfRule type="expression" dxfId="392" priority="13">
      <formula>AND($E1="Fail", COUNTA($F1:$H1)&gt;0)</formula>
    </cfRule>
  </conditionalFormatting>
  <conditionalFormatting sqref="F13:H34">
    <cfRule type="expression" dxfId="391" priority="3">
      <formula>AND($E13="Fail", COUNTA($F13:$H13)&gt;0)</formula>
    </cfRule>
  </conditionalFormatting>
  <conditionalFormatting sqref="F35:I39">
    <cfRule type="expression" dxfId="390" priority="1">
      <formula>AND($E35="Fail", COUNTA($F35:$H35)&gt;0)</formula>
    </cfRule>
  </conditionalFormatting>
  <conditionalFormatting sqref="F40:I40">
    <cfRule type="expression" dxfId="389" priority="26">
      <formula>AND($E40="Fail", COUNTA(#REF!)&gt;0)</formula>
    </cfRule>
  </conditionalFormatting>
  <conditionalFormatting sqref="H1:H11 I14:I34 F69 H69">
    <cfRule type="expression" dxfId="388" priority="17">
      <formula>AND($E1="Fail", COUNTA($F1:$H1)&gt;0)</formula>
    </cfRule>
  </conditionalFormatting>
  <conditionalFormatting sqref="I51">
    <cfRule type="expression" dxfId="387" priority="25">
      <formula>AND($E51="Fail", COUNTA($F40:$H40)&gt;0)</formula>
    </cfRule>
  </conditionalFormatting>
  <hyperlinks>
    <hyperlink ref="B16" r:id="rId1" location="non-text-content" xr:uid="{E33D6056-E259-41AB-B4EC-3AA9BC1B7977}"/>
    <hyperlink ref="B24" r:id="rId2" location="info-and-relationships" xr:uid="{253A0CDB-C511-468C-8BF9-F0BB6DD70E70}"/>
    <hyperlink ref="B18" r:id="rId3" location="audio-only-and-video-only-prerecorded" xr:uid="{639DD017-E2E9-4911-9F1E-2ECAAAC96D71}"/>
    <hyperlink ref="B19" r:id="rId4" location="captions-prerecorded" xr:uid="{C9B53065-ADB4-411E-8E89-628448EC0FE1}"/>
    <hyperlink ref="B20" r:id="rId5" location="audio-description-or-media-alternative-prerecorded" xr:uid="{10B93184-9103-4ED4-BB9E-383B1F5D1094}"/>
    <hyperlink ref="B21" r:id="rId6" location="captions-live" xr:uid="{54E0EE3F-3E2F-40C8-9838-E8B5186B9017}"/>
    <hyperlink ref="B22" r:id="rId7" location="audio-description-prerecorded" xr:uid="{590F1242-AFEC-4518-8C45-6C2762AC3AA2}"/>
    <hyperlink ref="B25" r:id="rId8" location="meaningful-sequence" xr:uid="{06409B57-F74C-40F0-8B5E-2CC20B7A2382}"/>
    <hyperlink ref="B26" r:id="rId9" location="sensory-characteristics" xr:uid="{AAA542CB-47A9-4BA7-A254-38FF2A2C3D58}"/>
    <hyperlink ref="B27" r:id="rId10" location="orientation" xr:uid="{9B172F8A-9967-4DFC-8CB9-AD005F0E2202}"/>
    <hyperlink ref="B28" r:id="rId11" location="identify-input-purpose" xr:uid="{7B2F33A4-3E93-4E10-9AD5-B7FD515FEE8C}"/>
    <hyperlink ref="B30" r:id="rId12" location="use-of-color" xr:uid="{0CC99293-C6D0-4819-A36E-7D7A2D7F5CDB}"/>
    <hyperlink ref="B31" r:id="rId13" location="audio-control" xr:uid="{EC0A47FE-1708-4A96-A10A-A469989159A4}"/>
    <hyperlink ref="B32" r:id="rId14" location="contrast-minimum" xr:uid="{3EF36E23-F416-49AE-87D0-D45E811AA6AD}"/>
    <hyperlink ref="B33" r:id="rId15" location="resize-text" xr:uid="{74610909-85A5-4BD0-98DE-AED19B89B3B5}"/>
    <hyperlink ref="B34" r:id="rId16" location="images-of-text" xr:uid="{89FF978D-2F90-4AD3-9C94-E94D0849A3C8}"/>
    <hyperlink ref="B35" r:id="rId17" location="reflow" xr:uid="{8F665C7F-8D3D-4729-8CCC-496E73A7BC32}"/>
    <hyperlink ref="B36" r:id="rId18" location="non-text-contrast" xr:uid="{9BC8B981-2F75-4A61-90AE-9325EB944E4D}"/>
    <hyperlink ref="B37" r:id="rId19" location="text-spacing" xr:uid="{2DD86CFF-19D3-44B4-9142-0598C7336792}"/>
    <hyperlink ref="B38" r:id="rId20" location="content-on-hover-or-focus" xr:uid="{240ACD4A-481B-43B1-8457-222BD5B5AB86}"/>
    <hyperlink ref="B40" r:id="rId21" location="keyboard" xr:uid="{ADB1EC97-860B-4FA0-9328-625019166ACC}"/>
    <hyperlink ref="B41" r:id="rId22" location="no-keyboard-trap" xr:uid="{26747255-C549-40C3-AD27-B42F0D5A4E83}"/>
    <hyperlink ref="B43" r:id="rId23" location="character-key-shortcuts" xr:uid="{A93A441C-6E3C-414F-91CE-BDD8639A9EBF}"/>
    <hyperlink ref="B44" r:id="rId24" location="timing-adjustable" xr:uid="{2E0FEE42-7663-4561-B0B5-01C5F39B286C}"/>
    <hyperlink ref="B45" r:id="rId25" location="pause-stop-hide" xr:uid="{4E698E16-22C8-48B6-9EA9-6B2AC6DED19C}"/>
    <hyperlink ref="B47" r:id="rId26" location="three-flashes-or-below-threshold" xr:uid="{E3CB361A-1519-4E6F-B437-B960559BE973}"/>
    <hyperlink ref="B49" r:id="rId27" location="bypass-blocks" xr:uid="{162F6196-370C-4FEA-9691-F2399813EF66}"/>
    <hyperlink ref="B50" r:id="rId28" location="page-titled" xr:uid="{6A28FFB1-C696-4B10-811F-E1CFF2C3A8A8}"/>
    <hyperlink ref="B51" r:id="rId29" location="focus-order" xr:uid="{CD0FC974-A53A-4C33-BA0F-52E4453C31A8}"/>
    <hyperlink ref="B52" r:id="rId30" location="link-purpose-in-context" xr:uid="{CF53F64B-58BF-4EB6-AFFD-E35C0373E02C}"/>
    <hyperlink ref="B53" r:id="rId31" location="multiple-ways" xr:uid="{D0D0B9A2-BC7C-4313-A3EF-F156EE80DCDF}"/>
    <hyperlink ref="B54" r:id="rId32" location="headings-and-labels" xr:uid="{C64BC0AA-FE5E-4B04-BB2E-D6DB7DDD60FC}"/>
    <hyperlink ref="B55" r:id="rId33" location="focus-visible" xr:uid="{BE1F5585-B0EE-448E-8730-4D52EB7B423D}"/>
    <hyperlink ref="B56" r:id="rId34" location="focus-not-obscured-minimum" xr:uid="{F9DCFC69-EF85-4C7C-86C8-988FAE432362}"/>
    <hyperlink ref="B58" r:id="rId35" location="pointer-gestures" xr:uid="{B66B8314-1A4B-4C12-B687-A017E5867E93}"/>
    <hyperlink ref="B59" r:id="rId36" location="pointer-cancellation" xr:uid="{9AD75B8D-3E8C-4BE0-B526-6DFABB93C260}"/>
    <hyperlink ref="B60" r:id="rId37" location="label-in-name" xr:uid="{F0000A54-82EA-49B3-B2DC-94811F32DB7F}"/>
    <hyperlink ref="B61" r:id="rId38" location="motion-actuation" xr:uid="{3931F566-FA23-45D9-8A5C-B79A08947F40}"/>
    <hyperlink ref="B62" r:id="rId39" location="dragging-movements" xr:uid="{787424EF-7E16-4F13-B3CF-B2323811566D}"/>
    <hyperlink ref="B63" r:id="rId40" location="target-size-minimum" xr:uid="{DDD0A98B-DC08-4DA0-BD4D-1BC5DB7001C3}"/>
    <hyperlink ref="B65" r:id="rId41" location="language-of-page" xr:uid="{FC431C8E-BA73-4453-AD24-41413CF6E8DF}"/>
    <hyperlink ref="B66" r:id="rId42" location="language-of-parts" xr:uid="{2033B2C5-9EB2-446E-B5A1-8843AC2A0829}"/>
    <hyperlink ref="B68" r:id="rId43" location="on-focus" xr:uid="{584D16B8-9548-4FE8-BD1B-454E6406014C}"/>
    <hyperlink ref="B69" r:id="rId44" location="on-input" xr:uid="{4A291F19-B545-4F1D-907A-0C9C84A1A761}"/>
    <hyperlink ref="B70" r:id="rId45" location="consistent-navigation" xr:uid="{84FEC2F4-8DFE-4DD2-988B-FAAB0ECB43B6}"/>
    <hyperlink ref="B71" r:id="rId46" location="consistent-identification" xr:uid="{8E3217F1-8476-460A-A121-A52AAF9B9919}"/>
    <hyperlink ref="B72" r:id="rId47" location="consistent-help" xr:uid="{8AF6411B-E04F-4EB9-AB45-AEDD371290E9}"/>
    <hyperlink ref="B74" r:id="rId48" location="error-identification" xr:uid="{F216FDBC-49EF-4099-827E-A56F6BBE49CD}"/>
    <hyperlink ref="B75" r:id="rId49" location="labels-or-instructions" xr:uid="{C71C9C8E-C6F0-4AD2-8559-91727E7B5B85}"/>
    <hyperlink ref="B76" r:id="rId50" location="error-suggestion" xr:uid="{07B8CB3A-B2A3-4B8B-86B5-E9FC68544E09}"/>
    <hyperlink ref="B77" r:id="rId51" location="error-prevention-legal-financial-data" xr:uid="{CD6A248B-A489-42DA-935E-4268A09DB5BA}"/>
    <hyperlink ref="B78" r:id="rId52" location="redundant-entry" xr:uid="{CDC0AACC-B287-4F89-929C-4733CAAF489B}"/>
    <hyperlink ref="B79" r:id="rId53" location="accessible-authentication-minimum" xr:uid="{6DF01E08-9C3C-45C9-964E-09E9A96B7E9D}"/>
    <hyperlink ref="B81" r:id="rId54" location="parsing" xr:uid="{7BB229E4-D872-4266-9266-53459E192891}"/>
    <hyperlink ref="B82" r:id="rId55" location="name-role-value" xr:uid="{C5D87CA0-FFA8-4765-8411-4C2E791F50D0}"/>
    <hyperlink ref="B83" r:id="rId56" location="status-messages" xr:uid="{74AC3B34-EBEE-46CB-AFD9-EDEC68726AAA}"/>
    <hyperlink ref="E11" r:id="rId57" xr:uid="{567B90F9-DD7A-40D4-8CD9-CF212F081A83}"/>
    <hyperlink ref="C3" r:id="rId58" xr:uid="{CB83EC2F-3999-4CE5-8B51-3665268A25D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B8B7D-C3C4-43AF-9DAB-701BF7757C47}">
  <sheetPr>
    <tabColor rgb="FFFFC000"/>
  </sheetPr>
  <dimension ref="A1:O87"/>
  <sheetViews>
    <sheetView workbookViewId="0">
      <selection activeCell="G16" sqref="G16"/>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172</v>
      </c>
    </row>
    <row r="3" spans="1:10" s="4" customFormat="1" ht="21.95" customHeight="1" x14ac:dyDescent="0.25">
      <c r="A3" s="53" t="s">
        <v>2</v>
      </c>
      <c r="B3" s="54"/>
      <c r="C3" s="5" t="s">
        <v>173</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30</v>
      </c>
      <c r="F10" s="8" t="str">
        <f>"Fail: " &amp; COUNTIF(E16:E83, "Fail")</f>
        <v>Fail: 4</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155</v>
      </c>
      <c r="F16" s="20" t="s">
        <v>174</v>
      </c>
      <c r="G16" s="20" t="s">
        <v>158</v>
      </c>
      <c r="H16" s="25" t="s">
        <v>175</v>
      </c>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176</v>
      </c>
      <c r="G24" s="20" t="s">
        <v>159</v>
      </c>
      <c r="H24" s="25" t="s">
        <v>160</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94.5" x14ac:dyDescent="0.25">
      <c r="A28" s="20">
        <v>11</v>
      </c>
      <c r="B28" s="47" t="s">
        <v>46</v>
      </c>
      <c r="C28" s="21" t="s">
        <v>32</v>
      </c>
      <c r="D28" s="20" t="s">
        <v>47</v>
      </c>
      <c r="E28" s="44" t="s">
        <v>155</v>
      </c>
      <c r="F28" s="20" t="s">
        <v>178</v>
      </c>
      <c r="G28" s="20" t="s">
        <v>179</v>
      </c>
      <c r="H28" s="25" t="s">
        <v>177</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180</v>
      </c>
      <c r="G74" s="20" t="s">
        <v>161</v>
      </c>
      <c r="H74" s="25" t="s">
        <v>181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C12:H12"/>
    <mergeCell ref="A2:B2"/>
    <mergeCell ref="A3:B3"/>
    <mergeCell ref="A4:B4"/>
    <mergeCell ref="A5:B5"/>
    <mergeCell ref="A6:B6"/>
    <mergeCell ref="A7:B7"/>
    <mergeCell ref="A8:B8"/>
    <mergeCell ref="A9:B9"/>
    <mergeCell ref="A10:B10"/>
    <mergeCell ref="A11:B11"/>
    <mergeCell ref="A12:B12"/>
  </mergeCells>
  <conditionalFormatting sqref="E1:E10">
    <cfRule type="expression" dxfId="386" priority="9">
      <formula>E1="Not Applicable"</formula>
    </cfRule>
    <cfRule type="expression" dxfId="385" priority="10">
      <formula>E1="Fail"</formula>
    </cfRule>
    <cfRule type="expression" dxfId="384" priority="11">
      <formula>E1="Pass"</formula>
    </cfRule>
  </conditionalFormatting>
  <conditionalFormatting sqref="E13:E1048576">
    <cfRule type="expression" dxfId="383" priority="5">
      <formula>E13="Not Applicable"</formula>
    </cfRule>
    <cfRule type="expression" dxfId="382" priority="6">
      <formula>E13="Fail"</formula>
    </cfRule>
    <cfRule type="expression" dxfId="381" priority="7">
      <formula>E13="Pass"</formula>
    </cfRule>
  </conditionalFormatting>
  <conditionalFormatting sqref="F1:G2 G3 F4:G10 F41:I50 F52:H68 I52:I87 F70:H1048576">
    <cfRule type="expression" dxfId="380" priority="8">
      <formula>AND($E1="Fail", COUNTA($F1:$H1)&gt;0)</formula>
    </cfRule>
  </conditionalFormatting>
  <conditionalFormatting sqref="F13:H34">
    <cfRule type="expression" dxfId="379" priority="1">
      <formula>AND($E13="Fail", COUNTA($F13:$H13)&gt;0)</formula>
    </cfRule>
  </conditionalFormatting>
  <conditionalFormatting sqref="F35:I39">
    <cfRule type="expression" dxfId="378" priority="2">
      <formula>AND($E35="Fail", COUNTA($F35:$H35)&gt;0)</formula>
    </cfRule>
  </conditionalFormatting>
  <conditionalFormatting sqref="F40:I40">
    <cfRule type="expression" dxfId="377" priority="14">
      <formula>AND($E40="Fail", COUNTA(#REF!)&gt;0)</formula>
    </cfRule>
  </conditionalFormatting>
  <conditionalFormatting sqref="H1:H11 I14:I34 F69 H69">
    <cfRule type="expression" dxfId="376" priority="12">
      <formula>AND($E1="Fail", COUNTA($F1:$H1)&gt;0)</formula>
    </cfRule>
  </conditionalFormatting>
  <conditionalFormatting sqref="I51">
    <cfRule type="expression" dxfId="375" priority="13">
      <formula>AND($E51="Fail", COUNTA($F40:$H40)&gt;0)</formula>
    </cfRule>
  </conditionalFormatting>
  <hyperlinks>
    <hyperlink ref="B16" r:id="rId1" location="non-text-content" xr:uid="{8A633F7C-F9AF-4A69-95EB-D8DA05BE266E}"/>
    <hyperlink ref="B24" r:id="rId2" location="info-and-relationships" xr:uid="{F10E0FEA-4499-4999-BC58-BF64AFF31294}"/>
    <hyperlink ref="B18" r:id="rId3" location="audio-only-and-video-only-prerecorded" xr:uid="{0B138E5C-C933-49DA-9C01-FBBD83C393B3}"/>
    <hyperlink ref="B19" r:id="rId4" location="captions-prerecorded" xr:uid="{3D85C4FC-5C61-4F67-9330-FA4ABECC84D2}"/>
    <hyperlink ref="B20" r:id="rId5" location="audio-description-or-media-alternative-prerecorded" xr:uid="{22C31876-05F0-4D3C-92BE-546751554B44}"/>
    <hyperlink ref="B21" r:id="rId6" location="captions-live" xr:uid="{B7AFE671-D844-404B-8AEE-E68135DDCA33}"/>
    <hyperlink ref="B22" r:id="rId7" location="audio-description-prerecorded" xr:uid="{C238930F-FE09-42D1-A5E3-208FAE7CDB63}"/>
    <hyperlink ref="B25" r:id="rId8" location="meaningful-sequence" xr:uid="{B86015AB-AF2F-41DD-85DC-F600ED7BC250}"/>
    <hyperlink ref="B26" r:id="rId9" location="sensory-characteristics" xr:uid="{BB1A8448-B4A5-4B8C-86A5-01A507D09385}"/>
    <hyperlink ref="B27" r:id="rId10" location="orientation" xr:uid="{0EBEA0B8-F189-4FD1-A5D3-64B707616DC8}"/>
    <hyperlink ref="B28" r:id="rId11" location="identify-input-purpose" xr:uid="{2DB11BCA-020C-4C8D-B2BC-53CBD398BE37}"/>
    <hyperlink ref="B30" r:id="rId12" location="use-of-color" xr:uid="{7C1B7676-49AB-4037-B709-B767B43CCF09}"/>
    <hyperlink ref="B31" r:id="rId13" location="audio-control" xr:uid="{94DCB91F-4BF3-4B84-A357-5851E3B37C29}"/>
    <hyperlink ref="B32" r:id="rId14" location="contrast-minimum" xr:uid="{AC299235-11EE-4AF7-B6E7-16CE4CD893A9}"/>
    <hyperlink ref="B33" r:id="rId15" location="resize-text" xr:uid="{28343401-3F05-48E3-8FED-F8019318C7B0}"/>
    <hyperlink ref="B34" r:id="rId16" location="images-of-text" xr:uid="{46CE5C1B-C6AE-4E06-99D1-B82CBDA385B3}"/>
    <hyperlink ref="B35" r:id="rId17" location="reflow" xr:uid="{341104FD-EBE7-4BCA-9BC6-18A1B8CD8983}"/>
    <hyperlink ref="B36" r:id="rId18" location="non-text-contrast" xr:uid="{A9B7B74E-B5CF-47A3-93CB-1AACB8ECC4DB}"/>
    <hyperlink ref="B37" r:id="rId19" location="text-spacing" xr:uid="{06CAFDD5-0AB0-496C-8465-E112D79E2D4A}"/>
    <hyperlink ref="B38" r:id="rId20" location="content-on-hover-or-focus" xr:uid="{D39104CF-484A-4C11-ABA4-A6A9B7730305}"/>
    <hyperlink ref="B40" r:id="rId21" location="keyboard" xr:uid="{1593670C-1D2D-446F-B5E0-3677FB8C73B0}"/>
    <hyperlink ref="B41" r:id="rId22" location="no-keyboard-trap" xr:uid="{AB9CC517-C8A1-4965-9DCC-3C94E6CEEC3F}"/>
    <hyperlink ref="B43" r:id="rId23" location="character-key-shortcuts" xr:uid="{04EF65DE-3898-4542-8CBD-B4FC9C224212}"/>
    <hyperlink ref="B44" r:id="rId24" location="timing-adjustable" xr:uid="{85C6EEEA-E556-43A4-A827-E9D5B35FC7DF}"/>
    <hyperlink ref="B45" r:id="rId25" location="pause-stop-hide" xr:uid="{B2181031-55C8-4ECD-85DE-29E8BB18E526}"/>
    <hyperlink ref="B47" r:id="rId26" location="three-flashes-or-below-threshold" xr:uid="{35A1B956-CD29-4192-B9FE-8B46569A93FE}"/>
    <hyperlink ref="B49" r:id="rId27" location="bypass-blocks" xr:uid="{80E23ABB-F5CC-47F8-8AA8-93879AD4F628}"/>
    <hyperlink ref="B50" r:id="rId28" location="page-titled" xr:uid="{61454517-7ADE-4439-8D8A-ED7BB383AB97}"/>
    <hyperlink ref="B51" r:id="rId29" location="focus-order" xr:uid="{308191A0-4591-4DB8-9397-05E873C3BF7C}"/>
    <hyperlink ref="B52" r:id="rId30" location="link-purpose-in-context" xr:uid="{C1B9F3A5-C7C9-4388-8200-D2C720B0E0BF}"/>
    <hyperlink ref="B53" r:id="rId31" location="multiple-ways" xr:uid="{9CB750F1-773B-4328-AF4B-5E6D02642637}"/>
    <hyperlink ref="B54" r:id="rId32" location="headings-and-labels" xr:uid="{0D4025FB-21D6-48AA-BBCF-91010318EC32}"/>
    <hyperlink ref="B55" r:id="rId33" location="focus-visible" xr:uid="{22C7164F-2906-4A7E-A9D2-567087D7EF4C}"/>
    <hyperlink ref="B56" r:id="rId34" location="focus-not-obscured-minimum" xr:uid="{AAD9DA7A-2ACE-4518-A252-39BB3E829EA9}"/>
    <hyperlink ref="B58" r:id="rId35" location="pointer-gestures" xr:uid="{E959FE47-EC6A-417B-BD6A-AFB2C227D797}"/>
    <hyperlink ref="B59" r:id="rId36" location="pointer-cancellation" xr:uid="{2D69D228-BE32-46DC-A637-F09AD5EFF01F}"/>
    <hyperlink ref="B60" r:id="rId37" location="label-in-name" xr:uid="{64A1EC77-2F6F-491B-B9DA-19430782BFFF}"/>
    <hyperlink ref="B61" r:id="rId38" location="motion-actuation" xr:uid="{80A35FB3-D56B-44A3-8ED2-A01530F0DFB6}"/>
    <hyperlink ref="B62" r:id="rId39" location="dragging-movements" xr:uid="{A3C6DBB2-0422-409F-9859-E0BD7F3ED8E8}"/>
    <hyperlink ref="B63" r:id="rId40" location="target-size-minimum" xr:uid="{D8C1A067-A8F9-4346-BB14-67A141D1B67E}"/>
    <hyperlink ref="B65" r:id="rId41" location="language-of-page" xr:uid="{F6B55E31-3E6F-4CC6-A4DC-A008FEF4B85D}"/>
    <hyperlink ref="B66" r:id="rId42" location="language-of-parts" xr:uid="{57204303-4F47-4CF9-B88D-D5E49214DC34}"/>
    <hyperlink ref="B68" r:id="rId43" location="on-focus" xr:uid="{FAAD75AA-3BB7-4C6B-8F8A-1501A54B2338}"/>
    <hyperlink ref="B69" r:id="rId44" location="on-input" xr:uid="{5961749D-F5E4-40D1-AA3E-9981565C6EC0}"/>
    <hyperlink ref="B70" r:id="rId45" location="consistent-navigation" xr:uid="{4FF93129-F3CD-4A8E-A6C3-00DF5C609D42}"/>
    <hyperlink ref="B71" r:id="rId46" location="consistent-identification" xr:uid="{5B4FA1AE-AADB-401B-8B89-68C01AB43CDC}"/>
    <hyperlink ref="B72" r:id="rId47" location="consistent-help" xr:uid="{EEC238D6-9AD0-42F5-98E5-6A4DADE44363}"/>
    <hyperlink ref="B74" r:id="rId48" location="error-identification" xr:uid="{B3382898-FA98-4A53-8C73-F2B7BE99781F}"/>
    <hyperlink ref="B75" r:id="rId49" location="labels-or-instructions" xr:uid="{92142244-AECE-45ED-826C-7F9B49CD1094}"/>
    <hyperlink ref="B76" r:id="rId50" location="error-suggestion" xr:uid="{8C3F037D-4B66-425C-95F3-85FC802A8657}"/>
    <hyperlink ref="B77" r:id="rId51" location="error-prevention-legal-financial-data" xr:uid="{BDE39960-F59B-4A56-97D1-DEC28312D0BB}"/>
    <hyperlink ref="B78" r:id="rId52" location="redundant-entry" xr:uid="{0584AAE7-8892-428A-94A3-F1DEFB3E2FEB}"/>
    <hyperlink ref="B79" r:id="rId53" location="accessible-authentication-minimum" xr:uid="{46CE3D67-4B2C-4297-BF8A-6AFC17247BBA}"/>
    <hyperlink ref="B81" r:id="rId54" location="parsing" xr:uid="{DC3A6E55-E9B3-46C6-B9AB-1DF938794A1E}"/>
    <hyperlink ref="B82" r:id="rId55" location="name-role-value" xr:uid="{2FE78E6A-A515-41E6-AF53-7B03DA087D7C}"/>
    <hyperlink ref="B83" r:id="rId56" location="status-messages" xr:uid="{89333857-B9F6-404B-BE22-44A7EECD46F2}"/>
    <hyperlink ref="E11" r:id="rId57" xr:uid="{1EAB8021-45F9-4404-8C22-E7EF33D266AD}"/>
    <hyperlink ref="C3" r:id="rId58" xr:uid="{D486880D-BC70-4B27-9B73-454995D3657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27EA-0202-4D75-9475-A677B76B4347}">
  <sheetPr>
    <tabColor rgb="FFFFFF00"/>
  </sheetPr>
  <dimension ref="A1:O87"/>
  <sheetViews>
    <sheetView workbookViewId="0">
      <selection activeCell="F16" sqref="F16"/>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182</v>
      </c>
    </row>
    <row r="3" spans="1:10" s="4" customFormat="1" ht="21.95" customHeight="1" x14ac:dyDescent="0.25">
      <c r="A3" s="53" t="s">
        <v>2</v>
      </c>
      <c r="B3" s="54"/>
      <c r="C3" s="5" t="s">
        <v>183</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30</v>
      </c>
      <c r="F10" s="8" t="str">
        <f>"Fail: " &amp; COUNTIF(E16:E83, "Fail")</f>
        <v>Fail: 6</v>
      </c>
      <c r="G10" s="9" t="str">
        <f>"Not applicable: " &amp; COUNTIF(E16:E83, "Not applicable")</f>
        <v>Not applicable: 20</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176</v>
      </c>
      <c r="G24" s="20" t="s">
        <v>159</v>
      </c>
      <c r="H24" s="25" t="s">
        <v>160</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184</v>
      </c>
      <c r="G28" s="20" t="s">
        <v>185</v>
      </c>
      <c r="H28" s="25" t="s">
        <v>177</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155</v>
      </c>
      <c r="F35" s="20" t="s">
        <v>169</v>
      </c>
      <c r="G35" s="20" t="s">
        <v>186</v>
      </c>
      <c r="H35" s="20" t="s">
        <v>171</v>
      </c>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155</v>
      </c>
      <c r="F45" s="20" t="s">
        <v>187</v>
      </c>
      <c r="G45" s="20" t="s">
        <v>188</v>
      </c>
      <c r="H45" s="25" t="s">
        <v>189</v>
      </c>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155</v>
      </c>
      <c r="F49" s="20" t="s">
        <v>190</v>
      </c>
      <c r="G49" s="20" t="s">
        <v>191</v>
      </c>
      <c r="H49" s="25" t="s">
        <v>192</v>
      </c>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180</v>
      </c>
      <c r="G74" s="20" t="s">
        <v>161</v>
      </c>
      <c r="H74" s="25" t="s">
        <v>181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C12:H12"/>
    <mergeCell ref="A2:B2"/>
    <mergeCell ref="A3:B3"/>
    <mergeCell ref="A4:B4"/>
    <mergeCell ref="A5:B5"/>
    <mergeCell ref="A6:B6"/>
    <mergeCell ref="A7:B7"/>
    <mergeCell ref="A8:B8"/>
    <mergeCell ref="A9:B9"/>
    <mergeCell ref="A10:B10"/>
    <mergeCell ref="A11:B11"/>
    <mergeCell ref="A12:B12"/>
  </mergeCells>
  <conditionalFormatting sqref="E1:E10">
    <cfRule type="expression" dxfId="374" priority="9">
      <formula>E1="Not Applicable"</formula>
    </cfRule>
    <cfRule type="expression" dxfId="373" priority="10">
      <formula>E1="Fail"</formula>
    </cfRule>
    <cfRule type="expression" dxfId="372" priority="11">
      <formula>E1="Pass"</formula>
    </cfRule>
  </conditionalFormatting>
  <conditionalFormatting sqref="E13:E1048576">
    <cfRule type="expression" dxfId="371" priority="5">
      <formula>E13="Not Applicable"</formula>
    </cfRule>
    <cfRule type="expression" dxfId="370" priority="6">
      <formula>E13="Fail"</formula>
    </cfRule>
    <cfRule type="expression" dxfId="369" priority="7">
      <formula>E13="Pass"</formula>
    </cfRule>
  </conditionalFormatting>
  <conditionalFormatting sqref="F1:G2 G3 F4:G10 F41:I50 F52:H68 I52:I87 F70:H1048576">
    <cfRule type="expression" dxfId="368" priority="8">
      <formula>AND($E1="Fail", COUNTA($F1:$H1)&gt;0)</formula>
    </cfRule>
  </conditionalFormatting>
  <conditionalFormatting sqref="F13:H34">
    <cfRule type="expression" dxfId="367" priority="1">
      <formula>AND($E13="Fail", COUNTA($F13:$H13)&gt;0)</formula>
    </cfRule>
  </conditionalFormatting>
  <conditionalFormatting sqref="F35:I39">
    <cfRule type="expression" dxfId="366" priority="2">
      <formula>AND($E35="Fail", COUNTA($F35:$H35)&gt;0)</formula>
    </cfRule>
  </conditionalFormatting>
  <conditionalFormatting sqref="F40:I40">
    <cfRule type="expression" dxfId="365" priority="14">
      <formula>AND($E40="Fail", COUNTA(#REF!)&gt;0)</formula>
    </cfRule>
  </conditionalFormatting>
  <conditionalFormatting sqref="H1:H11 I14:I34 F69 H69">
    <cfRule type="expression" dxfId="364" priority="12">
      <formula>AND($E1="Fail", COUNTA($F1:$H1)&gt;0)</formula>
    </cfRule>
  </conditionalFormatting>
  <conditionalFormatting sqref="I51">
    <cfRule type="expression" dxfId="363" priority="13">
      <formula>AND($E51="Fail", COUNTA($F40:$H40)&gt;0)</formula>
    </cfRule>
  </conditionalFormatting>
  <hyperlinks>
    <hyperlink ref="B16" r:id="rId1" location="non-text-content" xr:uid="{33775A93-9060-414D-82C8-9FC62C8D92B1}"/>
    <hyperlink ref="B24" r:id="rId2" location="info-and-relationships" xr:uid="{6592042C-DA46-454B-A3A3-3DDDEE91EC95}"/>
    <hyperlink ref="B18" r:id="rId3" location="audio-only-and-video-only-prerecorded" xr:uid="{77982F1C-B04C-423B-A685-13074E55061D}"/>
    <hyperlink ref="B19" r:id="rId4" location="captions-prerecorded" xr:uid="{883945A7-DF6B-4509-89AE-663064ABEB58}"/>
    <hyperlink ref="B20" r:id="rId5" location="audio-description-or-media-alternative-prerecorded" xr:uid="{A0A9CBF6-0E38-481D-AD51-8075F5C6447C}"/>
    <hyperlink ref="B21" r:id="rId6" location="captions-live" xr:uid="{AB06E951-BE0B-46A6-944B-5A3D8683AB9F}"/>
    <hyperlink ref="B22" r:id="rId7" location="audio-description-prerecorded" xr:uid="{4E2A725A-F5FE-450B-A515-9150C7ABF104}"/>
    <hyperlink ref="B25" r:id="rId8" location="meaningful-sequence" xr:uid="{24659554-7A73-4854-B06A-88EEA3462A40}"/>
    <hyperlink ref="B26" r:id="rId9" location="sensory-characteristics" xr:uid="{13DEF518-0823-4975-9DF2-DDDAE5A608E4}"/>
    <hyperlink ref="B27" r:id="rId10" location="orientation" xr:uid="{636451A4-43B2-4546-BE76-AE5FB7EA7E48}"/>
    <hyperlink ref="B28" r:id="rId11" location="identify-input-purpose" xr:uid="{E8BEF154-AA5B-4EC6-A31F-9DE34B30F910}"/>
    <hyperlink ref="B30" r:id="rId12" location="use-of-color" xr:uid="{F152BBA1-099B-4857-96E8-1BF286AC66EA}"/>
    <hyperlink ref="B31" r:id="rId13" location="audio-control" xr:uid="{A59A9496-9122-4C6F-ACA0-8C07CE3FC65A}"/>
    <hyperlink ref="B32" r:id="rId14" location="contrast-minimum" xr:uid="{8FC96FAC-3D19-463F-8EAA-61A71E38AA6C}"/>
    <hyperlink ref="B33" r:id="rId15" location="resize-text" xr:uid="{791A4B6C-EDA9-4BBD-9AC9-35FD22411ED1}"/>
    <hyperlink ref="B34" r:id="rId16" location="images-of-text" xr:uid="{3D6FB52A-143F-4328-A211-C5CB131D4B0C}"/>
    <hyperlink ref="B35" r:id="rId17" location="reflow" xr:uid="{DB12993D-A798-45EC-A3CA-B04264F479A9}"/>
    <hyperlink ref="B36" r:id="rId18" location="non-text-contrast" xr:uid="{7D0C9918-842B-4D5F-A809-21ED9B25A4A7}"/>
    <hyperlink ref="B37" r:id="rId19" location="text-spacing" xr:uid="{C61F231D-22F7-4B75-8E10-E7DE58776D8A}"/>
    <hyperlink ref="B38" r:id="rId20" location="content-on-hover-or-focus" xr:uid="{F961D2EC-3952-495A-97D6-BC067B73717F}"/>
    <hyperlink ref="B40" r:id="rId21" location="keyboard" xr:uid="{8806B530-B465-4BAB-B381-EFE929CFB393}"/>
    <hyperlink ref="B41" r:id="rId22" location="no-keyboard-trap" xr:uid="{82160CF5-39DE-47A5-B69F-089C10BEAC00}"/>
    <hyperlink ref="B43" r:id="rId23" location="character-key-shortcuts" xr:uid="{ADD06C8E-B115-414F-99CD-2A4CC8B66701}"/>
    <hyperlink ref="B44" r:id="rId24" location="timing-adjustable" xr:uid="{38E5A65B-7602-4656-AA73-4C1834183119}"/>
    <hyperlink ref="B45" r:id="rId25" location="pause-stop-hide" xr:uid="{AF763DB0-E77E-4515-9202-D660363BCBA3}"/>
    <hyperlink ref="B47" r:id="rId26" location="three-flashes-or-below-threshold" xr:uid="{93CCCAA4-57D4-4A94-8A82-30B2D59EFBC6}"/>
    <hyperlink ref="B49" r:id="rId27" location="bypass-blocks" xr:uid="{66F0BA01-3AE2-4ADC-B4DC-72EF55A19747}"/>
    <hyperlink ref="B50" r:id="rId28" location="page-titled" xr:uid="{ADA27FB2-961A-4BA3-8813-253E5CE37DD4}"/>
    <hyperlink ref="B51" r:id="rId29" location="focus-order" xr:uid="{E9F2EC00-38B1-46D5-9E43-7ECDEC14B441}"/>
    <hyperlink ref="B52" r:id="rId30" location="link-purpose-in-context" xr:uid="{AE3FDDD6-621E-449D-A5C6-EAC735B2D7C8}"/>
    <hyperlink ref="B53" r:id="rId31" location="multiple-ways" xr:uid="{EFCB6959-26B9-4473-82D2-FAE76707A5B5}"/>
    <hyperlink ref="B54" r:id="rId32" location="headings-and-labels" xr:uid="{8207892B-9C0C-40F3-9571-8B9F75A8FB15}"/>
    <hyperlink ref="B55" r:id="rId33" location="focus-visible" xr:uid="{6F776265-F72D-44BC-880A-AE08E80625AC}"/>
    <hyperlink ref="B56" r:id="rId34" location="focus-not-obscured-minimum" xr:uid="{80219407-1069-456D-92B2-3FDEEDA22D99}"/>
    <hyperlink ref="B58" r:id="rId35" location="pointer-gestures" xr:uid="{4977E127-2768-4A50-A563-A7D8A1FE9974}"/>
    <hyperlink ref="B59" r:id="rId36" location="pointer-cancellation" xr:uid="{E4100B77-052F-4AD1-B0F3-4E2CF8CB0CF1}"/>
    <hyperlink ref="B60" r:id="rId37" location="label-in-name" xr:uid="{22424FEC-62F2-47D8-8E4A-7ADE42EA4775}"/>
    <hyperlink ref="B61" r:id="rId38" location="motion-actuation" xr:uid="{0600F08F-9B40-4714-A1BC-ED3520186568}"/>
    <hyperlink ref="B62" r:id="rId39" location="dragging-movements" xr:uid="{712E83C9-8537-423D-8E10-FAD21D2A39E5}"/>
    <hyperlink ref="B63" r:id="rId40" location="target-size-minimum" xr:uid="{F97996D5-CCC5-4301-A76F-17E03D30FFF7}"/>
    <hyperlink ref="B65" r:id="rId41" location="language-of-page" xr:uid="{D5987B25-1279-475E-9AF6-62CE558CE747}"/>
    <hyperlink ref="B66" r:id="rId42" location="language-of-parts" xr:uid="{3E035957-ACFD-4CB1-8073-3953A7FE8803}"/>
    <hyperlink ref="B68" r:id="rId43" location="on-focus" xr:uid="{E126BE77-AAB3-4783-B12A-496831FA2412}"/>
    <hyperlink ref="B69" r:id="rId44" location="on-input" xr:uid="{BF817203-A30B-4D9B-B8E3-AC38B5CE4387}"/>
    <hyperlink ref="B70" r:id="rId45" location="consistent-navigation" xr:uid="{2A76EF19-298C-430D-A6CF-8993A2C4D2FC}"/>
    <hyperlink ref="B71" r:id="rId46" location="consistent-identification" xr:uid="{500E10E2-4F53-4855-B52F-9CF51B3482F9}"/>
    <hyperlink ref="B72" r:id="rId47" location="consistent-help" xr:uid="{18D5030D-6A03-498F-AABA-0C9C8F62D0FA}"/>
    <hyperlink ref="B74" r:id="rId48" location="error-identification" xr:uid="{37F51D0E-9979-4474-A8DA-C3D8284F9EF4}"/>
    <hyperlink ref="B75" r:id="rId49" location="labels-or-instructions" xr:uid="{5CA1C97D-ACAC-4A3E-BBCD-21AEBAD471FD}"/>
    <hyperlink ref="B76" r:id="rId50" location="error-suggestion" xr:uid="{E67AD67E-B112-446B-8F54-6B8F05B0627E}"/>
    <hyperlink ref="B77" r:id="rId51" location="error-prevention-legal-financial-data" xr:uid="{68D8F37D-E27B-4D1B-A640-DE7BAB51F21E}"/>
    <hyperlink ref="B78" r:id="rId52" location="redundant-entry" xr:uid="{636F9A11-14CA-46D3-917B-1F2771441C97}"/>
    <hyperlink ref="B79" r:id="rId53" location="accessible-authentication-minimum" xr:uid="{0AFFC118-32BA-432F-B91F-BC0CF4ADA276}"/>
    <hyperlink ref="B81" r:id="rId54" location="parsing" xr:uid="{DA8100E1-1BAC-4A9A-BB8A-38A0C60089CF}"/>
    <hyperlink ref="B82" r:id="rId55" location="name-role-value" xr:uid="{A3C46527-EB68-4739-BFD5-EFE3E6A54DD8}"/>
    <hyperlink ref="B83" r:id="rId56" location="status-messages" xr:uid="{B55519B4-F8CA-4820-86C0-F39F2EE5C7DD}"/>
    <hyperlink ref="E11" r:id="rId57" xr:uid="{18542180-D556-4DEF-BD67-7FB751D36CEF}"/>
    <hyperlink ref="C3" r:id="rId58" xr:uid="{40CCFE82-6F09-4B24-911E-1801BD4BAE5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B1FF9-BC75-4185-A6D8-1CA297F3F160}">
  <sheetPr>
    <tabColor rgb="FF92D050"/>
  </sheetPr>
  <dimension ref="A1:O87"/>
  <sheetViews>
    <sheetView workbookViewId="0">
      <selection activeCell="A51" sqref="A51"/>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193</v>
      </c>
    </row>
    <row r="3" spans="1:10" s="4" customFormat="1" ht="21.95" customHeight="1" x14ac:dyDescent="0.25">
      <c r="A3" s="53" t="s">
        <v>2</v>
      </c>
      <c r="B3" s="54"/>
      <c r="C3" s="5" t="s">
        <v>194</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30</v>
      </c>
      <c r="F10" s="8" t="str">
        <f>"Fail: " &amp; COUNTIF(E16:E83, "Fail")</f>
        <v>Fail: 4</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78.75" x14ac:dyDescent="0.25">
      <c r="A16" s="20">
        <v>1</v>
      </c>
      <c r="B16" s="47" t="s">
        <v>21</v>
      </c>
      <c r="C16" s="21" t="s">
        <v>22</v>
      </c>
      <c r="D16" s="20" t="s">
        <v>23</v>
      </c>
      <c r="E16" s="44" t="s">
        <v>155</v>
      </c>
      <c r="F16" s="20" t="s">
        <v>195</v>
      </c>
      <c r="G16" s="20" t="s">
        <v>197</v>
      </c>
      <c r="H16" s="25" t="s">
        <v>196</v>
      </c>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176</v>
      </c>
      <c r="G24" s="20" t="s">
        <v>159</v>
      </c>
      <c r="H24" s="25" t="s">
        <v>160</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41</v>
      </c>
      <c r="F28" s="20"/>
      <c r="G28" s="20"/>
      <c r="H28" s="25"/>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155</v>
      </c>
      <c r="F35" s="20" t="s">
        <v>198</v>
      </c>
      <c r="G35" s="20" t="s">
        <v>186</v>
      </c>
      <c r="H35" s="20" t="s">
        <v>171</v>
      </c>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180</v>
      </c>
      <c r="G74" s="20" t="s">
        <v>161</v>
      </c>
      <c r="H74" s="25" t="s">
        <v>181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C12:H12"/>
    <mergeCell ref="A2:B2"/>
    <mergeCell ref="A3:B3"/>
    <mergeCell ref="A4:B4"/>
    <mergeCell ref="A5:B5"/>
    <mergeCell ref="A6:B6"/>
    <mergeCell ref="A7:B7"/>
    <mergeCell ref="A8:B8"/>
    <mergeCell ref="A9:B9"/>
    <mergeCell ref="A10:B10"/>
    <mergeCell ref="A11:B11"/>
    <mergeCell ref="A12:B12"/>
  </mergeCells>
  <conditionalFormatting sqref="E1:E10">
    <cfRule type="expression" dxfId="362" priority="9">
      <formula>E1="Not Applicable"</formula>
    </cfRule>
    <cfRule type="expression" dxfId="361" priority="10">
      <formula>E1="Fail"</formula>
    </cfRule>
    <cfRule type="expression" dxfId="360" priority="11">
      <formula>E1="Pass"</formula>
    </cfRule>
  </conditionalFormatting>
  <conditionalFormatting sqref="E13:E1048576">
    <cfRule type="expression" dxfId="359" priority="5">
      <formula>E13="Not Applicable"</formula>
    </cfRule>
    <cfRule type="expression" dxfId="358" priority="6">
      <formula>E13="Fail"</formula>
    </cfRule>
    <cfRule type="expression" dxfId="357" priority="7">
      <formula>E13="Pass"</formula>
    </cfRule>
  </conditionalFormatting>
  <conditionalFormatting sqref="F1:G2 G3 F4:G10 F41:I50 F52:H68 I52:I87 F70:H1048576">
    <cfRule type="expression" dxfId="356" priority="8">
      <formula>AND($E1="Fail", COUNTA($F1:$H1)&gt;0)</formula>
    </cfRule>
  </conditionalFormatting>
  <conditionalFormatting sqref="F13:H34">
    <cfRule type="expression" dxfId="355" priority="1">
      <formula>AND($E13="Fail", COUNTA($F13:$H13)&gt;0)</formula>
    </cfRule>
  </conditionalFormatting>
  <conditionalFormatting sqref="F35:I39">
    <cfRule type="expression" dxfId="354" priority="2">
      <formula>AND($E35="Fail", COUNTA($F35:$H35)&gt;0)</formula>
    </cfRule>
  </conditionalFormatting>
  <conditionalFormatting sqref="F40:I40">
    <cfRule type="expression" dxfId="353" priority="14">
      <formula>AND($E40="Fail", COUNTA(#REF!)&gt;0)</formula>
    </cfRule>
  </conditionalFormatting>
  <conditionalFormatting sqref="H1:H11 I14:I34 F69 H69">
    <cfRule type="expression" dxfId="352" priority="12">
      <formula>AND($E1="Fail", COUNTA($F1:$H1)&gt;0)</formula>
    </cfRule>
  </conditionalFormatting>
  <conditionalFormatting sqref="I51">
    <cfRule type="expression" dxfId="351" priority="13">
      <formula>AND($E51="Fail", COUNTA($F40:$H40)&gt;0)</formula>
    </cfRule>
  </conditionalFormatting>
  <hyperlinks>
    <hyperlink ref="B16" r:id="rId1" location="non-text-content" xr:uid="{1B2123FB-11A3-44AF-AF73-0392CD555C87}"/>
    <hyperlink ref="B24" r:id="rId2" location="info-and-relationships" xr:uid="{5C8A7F32-16FD-45CD-8670-1AFEEC2E4936}"/>
    <hyperlink ref="B18" r:id="rId3" location="audio-only-and-video-only-prerecorded" xr:uid="{0195E26E-1718-44C3-A18E-C4805A20010F}"/>
    <hyperlink ref="B19" r:id="rId4" location="captions-prerecorded" xr:uid="{EA8393F6-286B-4213-AA89-8644281A24A1}"/>
    <hyperlink ref="B20" r:id="rId5" location="audio-description-or-media-alternative-prerecorded" xr:uid="{49B2E246-6858-4B37-B7A3-79EE0436EF79}"/>
    <hyperlink ref="B21" r:id="rId6" location="captions-live" xr:uid="{617942B5-2225-4764-9B8F-86E198BEA121}"/>
    <hyperlink ref="B22" r:id="rId7" location="audio-description-prerecorded" xr:uid="{DF5FE606-B8FC-4193-9BD8-B8ED2BF4F0A0}"/>
    <hyperlink ref="B25" r:id="rId8" location="meaningful-sequence" xr:uid="{2188DD1D-F62B-4EF2-90D0-EA354D8A1FA7}"/>
    <hyperlink ref="B26" r:id="rId9" location="sensory-characteristics" xr:uid="{0BA20DD9-5553-461E-8FF7-135ED0A9BAB5}"/>
    <hyperlink ref="B27" r:id="rId10" location="orientation" xr:uid="{4B1CACDE-85BE-49CA-988E-6D86666BF4FF}"/>
    <hyperlink ref="B28" r:id="rId11" location="identify-input-purpose" xr:uid="{F9EEC758-9C97-45EF-9F7E-F7A383A5D4B0}"/>
    <hyperlink ref="B30" r:id="rId12" location="use-of-color" xr:uid="{91ABF9F9-9E50-4BBE-B846-C4C2EA1A4302}"/>
    <hyperlink ref="B31" r:id="rId13" location="audio-control" xr:uid="{38933FFE-9B04-4E38-A6F8-DB7BB03AC547}"/>
    <hyperlink ref="B32" r:id="rId14" location="contrast-minimum" xr:uid="{3B091D5A-F320-4B42-B0D9-9B28767DE226}"/>
    <hyperlink ref="B33" r:id="rId15" location="resize-text" xr:uid="{60606E74-1D40-438E-8B91-7AEBCA58C426}"/>
    <hyperlink ref="B34" r:id="rId16" location="images-of-text" xr:uid="{E31E4046-C56B-4B75-B7FC-42E8DFE87741}"/>
    <hyperlink ref="B35" r:id="rId17" location="reflow" xr:uid="{EC6AEAE6-5AF5-4B84-8FBF-32B2780EA947}"/>
    <hyperlink ref="B36" r:id="rId18" location="non-text-contrast" xr:uid="{1E1BEF3C-8458-4093-8F04-84749292E112}"/>
    <hyperlink ref="B37" r:id="rId19" location="text-spacing" xr:uid="{0B123561-AEA5-468A-ABF9-83F71C3D7076}"/>
    <hyperlink ref="B38" r:id="rId20" location="content-on-hover-or-focus" xr:uid="{700BB60E-4EED-4A26-B8D2-42F138CC7973}"/>
    <hyperlink ref="B40" r:id="rId21" location="keyboard" xr:uid="{85E04273-BE9D-44F6-9DEF-082CD9BB03CE}"/>
    <hyperlink ref="B41" r:id="rId22" location="no-keyboard-trap" xr:uid="{128A8A1F-9E99-4A9C-A464-0EF1110B36EF}"/>
    <hyperlink ref="B43" r:id="rId23" location="character-key-shortcuts" xr:uid="{CD74FDB2-7CB9-410B-A2DA-AC9DE017DFFA}"/>
    <hyperlink ref="B44" r:id="rId24" location="timing-adjustable" xr:uid="{932EDED3-140D-49B5-87DC-18D01DE57B33}"/>
    <hyperlink ref="B45" r:id="rId25" location="pause-stop-hide" xr:uid="{BDC939D8-F36B-4D9C-ABBC-4235B4E49B94}"/>
    <hyperlink ref="B47" r:id="rId26" location="three-flashes-or-below-threshold" xr:uid="{31174A01-92F2-4949-BA2F-E8625B9739C5}"/>
    <hyperlink ref="B49" r:id="rId27" location="bypass-blocks" xr:uid="{D3736EDD-9777-45DD-9EDE-52BAFB42562A}"/>
    <hyperlink ref="B50" r:id="rId28" location="page-titled" xr:uid="{28BD0A1E-4DA2-46FD-B6F4-52CA52820317}"/>
    <hyperlink ref="B51" r:id="rId29" location="focus-order" xr:uid="{C915C879-6638-40B0-B344-557E62B97CBE}"/>
    <hyperlink ref="B52" r:id="rId30" location="link-purpose-in-context" xr:uid="{140854AC-8A17-42E6-ADE7-BBEBA5F36B5B}"/>
    <hyperlink ref="B53" r:id="rId31" location="multiple-ways" xr:uid="{CDA180B9-5139-454E-ADDC-7E6E9AED26FA}"/>
    <hyperlink ref="B54" r:id="rId32" location="headings-and-labels" xr:uid="{59C001BF-9612-43E1-A240-F1DA9AD3E820}"/>
    <hyperlink ref="B55" r:id="rId33" location="focus-visible" xr:uid="{A31A0894-13B8-4878-887B-485086A13BEE}"/>
    <hyperlink ref="B56" r:id="rId34" location="focus-not-obscured-minimum" xr:uid="{3CD06B84-4049-40D6-AF83-42F0A1E83DF8}"/>
    <hyperlink ref="B58" r:id="rId35" location="pointer-gestures" xr:uid="{3722BE87-6500-48BB-AFBF-2DB9795DD9AC}"/>
    <hyperlink ref="B59" r:id="rId36" location="pointer-cancellation" xr:uid="{18E9101F-A5D2-4948-8A9A-C085AA53229D}"/>
    <hyperlink ref="B60" r:id="rId37" location="label-in-name" xr:uid="{A1AFE5DE-1EC0-4FBB-83CA-D93AEE6FB887}"/>
    <hyperlink ref="B61" r:id="rId38" location="motion-actuation" xr:uid="{A0009876-EFB4-4377-8FB5-0B15153D17DF}"/>
    <hyperlink ref="B62" r:id="rId39" location="dragging-movements" xr:uid="{91E0F3F8-0C04-4809-81F1-F5754402FEA5}"/>
    <hyperlink ref="B63" r:id="rId40" location="target-size-minimum" xr:uid="{2C5B8E85-08BF-484F-B7FF-56DB93D9EB71}"/>
    <hyperlink ref="B65" r:id="rId41" location="language-of-page" xr:uid="{6147106B-84DD-43BC-979E-FDA66C450C35}"/>
    <hyperlink ref="B66" r:id="rId42" location="language-of-parts" xr:uid="{50A618B1-6265-46C3-9240-62506EB8ABE6}"/>
    <hyperlink ref="B68" r:id="rId43" location="on-focus" xr:uid="{0FAACEBE-451C-4D0F-B326-08DB31980FF5}"/>
    <hyperlink ref="B69" r:id="rId44" location="on-input" xr:uid="{533F34BF-6232-4306-9437-8C2B417FFE01}"/>
    <hyperlink ref="B70" r:id="rId45" location="consistent-navigation" xr:uid="{400D3170-3EE8-4683-A1A1-7427EF47A78F}"/>
    <hyperlink ref="B71" r:id="rId46" location="consistent-identification" xr:uid="{C257D459-E3F1-48C1-AA0B-BA0C542175D5}"/>
    <hyperlink ref="B72" r:id="rId47" location="consistent-help" xr:uid="{73A1CF5B-8223-4305-8AE9-6B64CB9DCB5C}"/>
    <hyperlink ref="B74" r:id="rId48" location="error-identification" xr:uid="{F8B12CE1-D307-4B28-81C8-F02C4E9BBD9A}"/>
    <hyperlink ref="B75" r:id="rId49" location="labels-or-instructions" xr:uid="{C20C2DD4-1A03-427F-A139-819F8445BB5B}"/>
    <hyperlink ref="B76" r:id="rId50" location="error-suggestion" xr:uid="{1DCA4902-F6D9-4EE9-8E4A-67D27E9CB7D4}"/>
    <hyperlink ref="B77" r:id="rId51" location="error-prevention-legal-financial-data" xr:uid="{4FB7E997-2BEF-4099-AC79-404CA7E016C9}"/>
    <hyperlink ref="B78" r:id="rId52" location="redundant-entry" xr:uid="{C7F17823-F6F5-4336-83D1-2FE7E3F47814}"/>
    <hyperlink ref="B79" r:id="rId53" location="accessible-authentication-minimum" xr:uid="{68F2CE8F-6E03-4A75-AEF5-E9318D715A96}"/>
    <hyperlink ref="B81" r:id="rId54" location="parsing" xr:uid="{49BAA79E-10B8-4C27-A217-184D95F5D39A}"/>
    <hyperlink ref="B82" r:id="rId55" location="name-role-value" xr:uid="{5A84F4A3-B266-42FD-9F49-F6FA0166DD1A}"/>
    <hyperlink ref="B83" r:id="rId56" location="status-messages" xr:uid="{B13B5437-AAE4-4DD5-953B-83A37D12D30A}"/>
    <hyperlink ref="E11" r:id="rId57" xr:uid="{673D358A-B0B3-45B3-8380-3A8740B7DF5F}"/>
    <hyperlink ref="C3" r:id="rId58" xr:uid="{3BB7EDB3-0BED-4F17-A29C-F2CC2040B8E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ED37C-FD69-4942-85E3-BB786760DD95}">
  <sheetPr>
    <tabColor rgb="FFFF000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319</v>
      </c>
    </row>
    <row r="3" spans="1:10" s="4" customFormat="1" ht="21.95" customHeight="1" x14ac:dyDescent="0.25">
      <c r="A3" s="53" t="s">
        <v>2</v>
      </c>
      <c r="B3" s="54"/>
      <c r="C3" s="5" t="s">
        <v>324</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30</v>
      </c>
      <c r="F10" s="8" t="str">
        <f>"Fail: " &amp; COUNTIF(E16:E83, "Fail")</f>
        <v>Fail: 4</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78.75" x14ac:dyDescent="0.25">
      <c r="A16" s="20">
        <v>1</v>
      </c>
      <c r="B16" s="47" t="s">
        <v>21</v>
      </c>
      <c r="C16" s="21" t="s">
        <v>22</v>
      </c>
      <c r="D16" s="20" t="s">
        <v>23</v>
      </c>
      <c r="E16" s="44" t="s">
        <v>155</v>
      </c>
      <c r="F16" s="20" t="s">
        <v>200</v>
      </c>
      <c r="G16" s="20" t="s">
        <v>197</v>
      </c>
      <c r="H16" s="25" t="s">
        <v>196</v>
      </c>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41</v>
      </c>
      <c r="F24" s="20"/>
      <c r="G24" s="20"/>
      <c r="H24" s="25"/>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201</v>
      </c>
      <c r="G28" s="20" t="s">
        <v>202</v>
      </c>
      <c r="H28" s="25" t="s">
        <v>203</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155</v>
      </c>
      <c r="F40" s="62" t="s">
        <v>320</v>
      </c>
      <c r="G40" s="62" t="s">
        <v>202</v>
      </c>
      <c r="H40" s="63" t="s">
        <v>203</v>
      </c>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180</v>
      </c>
      <c r="G74" s="20" t="s">
        <v>161</v>
      </c>
      <c r="H74" s="25" t="s">
        <v>181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84" priority="8">
      <formula>E1="Not Applicable"</formula>
    </cfRule>
    <cfRule type="expression" dxfId="83" priority="9">
      <formula>E1="Fail"</formula>
    </cfRule>
    <cfRule type="expression" dxfId="82" priority="10">
      <formula>E1="Pass"</formula>
    </cfRule>
  </conditionalFormatting>
  <conditionalFormatting sqref="E13:E1048576">
    <cfRule type="expression" dxfId="81" priority="4">
      <formula>E13="Not Applicable"</formula>
    </cfRule>
    <cfRule type="expression" dxfId="80" priority="5">
      <formula>E13="Fail"</formula>
    </cfRule>
    <cfRule type="expression" dxfId="79" priority="6">
      <formula>E13="Pass"</formula>
    </cfRule>
  </conditionalFormatting>
  <conditionalFormatting sqref="F1:G2 G3 F4:G10 F41:I50 F52:H68 I52:I87 F70:H1048576">
    <cfRule type="expression" dxfId="78" priority="7">
      <formula>AND($E1="Fail", COUNTA($F1:$H1)&gt;0)</formula>
    </cfRule>
  </conditionalFormatting>
  <conditionalFormatting sqref="F13:H34">
    <cfRule type="expression" dxfId="77" priority="2">
      <formula>AND($E13="Fail", COUNTA($F13:$H13)&gt;0)</formula>
    </cfRule>
  </conditionalFormatting>
  <conditionalFormatting sqref="F35:I39">
    <cfRule type="expression" dxfId="76" priority="3">
      <formula>AND($E35="Fail", COUNTA($F35:$H35)&gt;0)</formula>
    </cfRule>
  </conditionalFormatting>
  <conditionalFormatting sqref="I40">
    <cfRule type="expression" dxfId="75" priority="13">
      <formula>AND($E40="Fail", COUNTA(#REF!)&gt;0)</formula>
    </cfRule>
  </conditionalFormatting>
  <conditionalFormatting sqref="H1:H11 I14:I34 F69 H69">
    <cfRule type="expression" dxfId="74" priority="11">
      <formula>AND($E1="Fail", COUNTA($F1:$H1)&gt;0)</formula>
    </cfRule>
  </conditionalFormatting>
  <conditionalFormatting sqref="I51">
    <cfRule type="expression" dxfId="73" priority="12">
      <formula>AND($E51="Fail", COUNTA($F40:$H40)&gt;0)</formula>
    </cfRule>
  </conditionalFormatting>
  <hyperlinks>
    <hyperlink ref="B16" r:id="rId1" location="non-text-content" xr:uid="{029D8456-4F12-47F8-A9EE-B33F39D3C3DE}"/>
    <hyperlink ref="B24" r:id="rId2" location="info-and-relationships" xr:uid="{FECA31CA-2B26-4709-85AB-82771FD6B5C0}"/>
    <hyperlink ref="B18" r:id="rId3" location="audio-only-and-video-only-prerecorded" xr:uid="{0FC7AEB1-A394-41E7-BE87-32EE018D8162}"/>
    <hyperlink ref="B19" r:id="rId4" location="captions-prerecorded" xr:uid="{AFC31E03-3536-4435-BEBD-F1703D31B121}"/>
    <hyperlink ref="B20" r:id="rId5" location="audio-description-or-media-alternative-prerecorded" xr:uid="{BE5F3115-97D2-47D2-A627-3303160F0F21}"/>
    <hyperlink ref="B21" r:id="rId6" location="captions-live" xr:uid="{98B6A16A-07BC-46AE-A356-68D68571450F}"/>
    <hyperlink ref="B22" r:id="rId7" location="audio-description-prerecorded" xr:uid="{49464269-235C-4CF5-8C91-79F5DBB80118}"/>
    <hyperlink ref="B25" r:id="rId8" location="meaningful-sequence" xr:uid="{32AAAF6B-37CD-41D1-9C53-32B64A5ED872}"/>
    <hyperlink ref="B26" r:id="rId9" location="sensory-characteristics" xr:uid="{97598E68-BFD2-4303-880D-D8658603C76D}"/>
    <hyperlink ref="B27" r:id="rId10" location="orientation" xr:uid="{C9829559-5C39-4FC0-9010-E844CB3C074C}"/>
    <hyperlink ref="B28" r:id="rId11" location="identify-input-purpose" xr:uid="{5E1A1FF7-5BF4-466B-81C1-5BBAB6E9F8AE}"/>
    <hyperlink ref="B30" r:id="rId12" location="use-of-color" xr:uid="{2CFC334F-4136-4D71-B668-AA103C64A7DC}"/>
    <hyperlink ref="B31" r:id="rId13" location="audio-control" xr:uid="{D44A845E-0521-415B-AFEC-D193E62481FD}"/>
    <hyperlink ref="B32" r:id="rId14" location="contrast-minimum" xr:uid="{90DB935D-4A52-44AA-838C-462A55FC5E08}"/>
    <hyperlink ref="B33" r:id="rId15" location="resize-text" xr:uid="{097B34DA-9C90-4CAE-AED1-45BFFF6CF093}"/>
    <hyperlink ref="B34" r:id="rId16" location="images-of-text" xr:uid="{101BBFA8-5052-42D8-8525-E134F0934557}"/>
    <hyperlink ref="B35" r:id="rId17" location="reflow" xr:uid="{BE8CB487-6CEF-415F-B8C3-CC78F4B88C05}"/>
    <hyperlink ref="B36" r:id="rId18" location="non-text-contrast" xr:uid="{B430C81C-2476-476E-8DBC-EA2AFC8960E0}"/>
    <hyperlink ref="B37" r:id="rId19" location="text-spacing" xr:uid="{D88FF13A-96B3-4A69-AEBE-01714C53C619}"/>
    <hyperlink ref="B38" r:id="rId20" location="content-on-hover-or-focus" xr:uid="{AFE0A696-9F52-4F08-8D2D-4BAD2CD8F603}"/>
    <hyperlink ref="B40" r:id="rId21" location="keyboard" xr:uid="{56196F32-22ED-4B49-97E2-56D05FFCA7C1}"/>
    <hyperlink ref="B41" r:id="rId22" location="no-keyboard-trap" xr:uid="{EADB7115-2E31-420F-8E89-D4A020303696}"/>
    <hyperlink ref="B43" r:id="rId23" location="character-key-shortcuts" xr:uid="{6125E121-E0B0-4073-9664-AF5388DC1839}"/>
    <hyperlink ref="B44" r:id="rId24" location="timing-adjustable" xr:uid="{BC740C6B-9B20-41C2-8DA2-1870A45201B6}"/>
    <hyperlink ref="B45" r:id="rId25" location="pause-stop-hide" xr:uid="{E1A38889-A124-4460-AC29-6F35489C2D68}"/>
    <hyperlink ref="B47" r:id="rId26" location="three-flashes-or-below-threshold" xr:uid="{B91F9C7D-F46A-4218-919B-FFA351362F74}"/>
    <hyperlink ref="B49" r:id="rId27" location="bypass-blocks" xr:uid="{CD1ABD95-0512-4B62-A661-2B814A8243C4}"/>
    <hyperlink ref="B50" r:id="rId28" location="page-titled" xr:uid="{8F7D8421-4ECA-4743-A782-AE18936E03C7}"/>
    <hyperlink ref="B51" r:id="rId29" location="focus-order" xr:uid="{1AFFC485-E37D-4621-AA71-5B5ABCF4051C}"/>
    <hyperlink ref="B52" r:id="rId30" location="link-purpose-in-context" xr:uid="{5C98DCD1-11D3-415F-BF6B-74684539FD16}"/>
    <hyperlink ref="B53" r:id="rId31" location="multiple-ways" xr:uid="{B2E52190-E106-46E8-9FD3-30B8F77FAEBE}"/>
    <hyperlink ref="B54" r:id="rId32" location="headings-and-labels" xr:uid="{E91BD596-1EBB-46EE-817A-087B18368CE8}"/>
    <hyperlink ref="B55" r:id="rId33" location="focus-visible" xr:uid="{7E59C468-7CB9-43C8-8D44-DB3FDF12CB26}"/>
    <hyperlink ref="B56" r:id="rId34" location="focus-not-obscured-minimum" xr:uid="{078EAC3E-DDEC-45C9-87ED-A6AB0B2C4E64}"/>
    <hyperlink ref="B58" r:id="rId35" location="pointer-gestures" xr:uid="{260A72BF-4DBC-423E-A7E3-EB0891A29918}"/>
    <hyperlink ref="B59" r:id="rId36" location="pointer-cancellation" xr:uid="{A13836A9-FA9D-420B-90AC-FF123D1C3D65}"/>
    <hyperlink ref="B60" r:id="rId37" location="label-in-name" xr:uid="{0C73F5B4-0256-45E8-8D84-80456104C79A}"/>
    <hyperlink ref="B61" r:id="rId38" location="motion-actuation" xr:uid="{D987B64F-6082-4372-AEB5-B133A20D02DE}"/>
    <hyperlink ref="B62" r:id="rId39" location="dragging-movements" xr:uid="{E9573E35-39B4-48F5-A1C4-BE405AD7EAD6}"/>
    <hyperlink ref="B63" r:id="rId40" location="target-size-minimum" xr:uid="{7C10F54A-5394-4BC0-86FA-971DA285933C}"/>
    <hyperlink ref="B65" r:id="rId41" location="language-of-page" xr:uid="{CB521198-D4FE-4743-9ECA-C55AF2C540CB}"/>
    <hyperlink ref="B66" r:id="rId42" location="language-of-parts" xr:uid="{8145CFC2-4CAB-46DF-B3C6-53FD9049F294}"/>
    <hyperlink ref="B68" r:id="rId43" location="on-focus" xr:uid="{10F8BD5D-1AB6-4414-A4C9-E4D28ECE4BD1}"/>
    <hyperlink ref="B69" r:id="rId44" location="on-input" xr:uid="{D4DBFE97-860A-4662-B209-572612128A8D}"/>
    <hyperlink ref="B70" r:id="rId45" location="consistent-navigation" xr:uid="{43F8B871-CE5D-43FB-A35D-0D847F5EC48E}"/>
    <hyperlink ref="B71" r:id="rId46" location="consistent-identification" xr:uid="{71CDFA89-8E06-49A2-BB75-478A8F02D349}"/>
    <hyperlink ref="B72" r:id="rId47" location="consistent-help" xr:uid="{6BF0F987-B247-4F7B-8EAE-1F0FBF4E64B3}"/>
    <hyperlink ref="B74" r:id="rId48" location="error-identification" xr:uid="{2794C7FF-EB9A-4634-B870-9F93DF519AA8}"/>
    <hyperlink ref="B75" r:id="rId49" location="labels-or-instructions" xr:uid="{2034ADD0-7EE6-4E1A-80D9-B9C45A66B1DA}"/>
    <hyperlink ref="B76" r:id="rId50" location="error-suggestion" xr:uid="{696569CD-692B-49F6-9971-DAB002303271}"/>
    <hyperlink ref="B77" r:id="rId51" location="error-prevention-legal-financial-data" xr:uid="{645C3509-562E-4954-9006-57AFA373E9AE}"/>
    <hyperlink ref="B78" r:id="rId52" location="redundant-entry" xr:uid="{03F216EB-D236-4B6A-A1DE-6B01BCD5F107}"/>
    <hyperlink ref="B79" r:id="rId53" location="accessible-authentication-minimum" xr:uid="{648F1962-C03E-45E1-933B-43A9365D2020}"/>
    <hyperlink ref="B81" r:id="rId54" location="parsing" xr:uid="{CF986A4D-53B2-4597-8751-A293B968A740}"/>
    <hyperlink ref="B82" r:id="rId55" location="name-role-value" xr:uid="{EC880DD8-16D2-495C-BE67-9C05161B6F7E}"/>
    <hyperlink ref="B83" r:id="rId56" location="status-messages" xr:uid="{C0642898-814E-4B78-BD99-E59D9238A714}"/>
    <hyperlink ref="E11" r:id="rId57" xr:uid="{4566B7AA-7456-4E9D-8A4D-61D1F8F59A2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680C-E9AF-4D80-A915-3FFADD874F1F}">
  <sheetPr>
    <tabColor rgb="FFFF000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321</v>
      </c>
    </row>
    <row r="3" spans="1:10" s="4" customFormat="1" ht="21.95" customHeight="1" x14ac:dyDescent="0.25">
      <c r="A3" s="53" t="s">
        <v>2</v>
      </c>
      <c r="B3" s="54"/>
      <c r="C3" s="5" t="s">
        <v>324</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204</v>
      </c>
      <c r="G24" s="20" t="s">
        <v>205</v>
      </c>
      <c r="H24" s="25" t="s">
        <v>206</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323</v>
      </c>
      <c r="G28" s="20" t="s">
        <v>208</v>
      </c>
      <c r="H28" s="25" t="s">
        <v>209</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210</v>
      </c>
      <c r="G74" s="20" t="s">
        <v>161</v>
      </c>
      <c r="H74" s="25" t="s">
        <v>211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71" priority="9">
      <formula>E1="Not Applicable"</formula>
    </cfRule>
    <cfRule type="expression" dxfId="70" priority="10">
      <formula>E1="Fail"</formula>
    </cfRule>
    <cfRule type="expression" dxfId="69" priority="11">
      <formula>E1="Pass"</formula>
    </cfRule>
  </conditionalFormatting>
  <conditionalFormatting sqref="E13:E1048576">
    <cfRule type="expression" dxfId="68" priority="5">
      <formula>E13="Not Applicable"</formula>
    </cfRule>
    <cfRule type="expression" dxfId="67" priority="6">
      <formula>E13="Fail"</formula>
    </cfRule>
    <cfRule type="expression" dxfId="66" priority="7">
      <formula>E13="Pass"</formula>
    </cfRule>
  </conditionalFormatting>
  <conditionalFormatting sqref="F1:G2 G3 F4:G10 F41:I50 F52:H68 I52:I87 F70:H73 F75:H1048576">
    <cfRule type="expression" dxfId="65" priority="8">
      <formula>AND($E1="Fail", COUNTA($F1:$H1)&gt;0)</formula>
    </cfRule>
  </conditionalFormatting>
  <conditionalFormatting sqref="F13:H23 F29:H34">
    <cfRule type="expression" dxfId="64" priority="3">
      <formula>AND($E13="Fail", COUNTA($F13:$H13)&gt;0)</formula>
    </cfRule>
  </conditionalFormatting>
  <conditionalFormatting sqref="F35:I39">
    <cfRule type="expression" dxfId="63" priority="4">
      <formula>AND($E35="Fail", COUNTA($F35:$H35)&gt;0)</formula>
    </cfRule>
  </conditionalFormatting>
  <conditionalFormatting sqref="F40:I40">
    <cfRule type="expression" dxfId="62" priority="14">
      <formula>AND($E40="Fail", COUNTA(#REF!)&gt;0)</formula>
    </cfRule>
  </conditionalFormatting>
  <conditionalFormatting sqref="H1:H11 I14:I34 F69 H69">
    <cfRule type="expression" dxfId="61" priority="12">
      <formula>AND($E1="Fail", COUNTA($F1:$H1)&gt;0)</formula>
    </cfRule>
  </conditionalFormatting>
  <conditionalFormatting sqref="I51">
    <cfRule type="expression" dxfId="60" priority="13">
      <formula>AND($E51="Fail", COUNTA($F40:$H40)&gt;0)</formula>
    </cfRule>
  </conditionalFormatting>
  <conditionalFormatting sqref="F24:H28">
    <cfRule type="expression" dxfId="59" priority="2">
      <formula>AND($E24="Fail", COUNTA($F24:$H24)&gt;0)</formula>
    </cfRule>
  </conditionalFormatting>
  <conditionalFormatting sqref="F74:H74">
    <cfRule type="expression" dxfId="58" priority="1">
      <formula>AND($E74="Fail", COUNTA($F74:$H74)&gt;0)</formula>
    </cfRule>
  </conditionalFormatting>
  <hyperlinks>
    <hyperlink ref="B16" r:id="rId1" location="non-text-content" xr:uid="{BED5C6B5-9EAA-40C0-8B70-F3D047D4D4D0}"/>
    <hyperlink ref="B24" r:id="rId2" location="info-and-relationships" xr:uid="{BA6759E4-6455-45F9-8D45-5A2311825B81}"/>
    <hyperlink ref="B18" r:id="rId3" location="audio-only-and-video-only-prerecorded" xr:uid="{6CC090CB-1F7A-429D-8F9F-CE929E2A1C80}"/>
    <hyperlink ref="B19" r:id="rId4" location="captions-prerecorded" xr:uid="{7DBCB6B4-1B6E-42F6-9CF7-47635617B7D5}"/>
    <hyperlink ref="B20" r:id="rId5" location="audio-description-or-media-alternative-prerecorded" xr:uid="{2BB9E614-54A1-4799-8BB5-D5BCFAD81AFD}"/>
    <hyperlink ref="B21" r:id="rId6" location="captions-live" xr:uid="{14B6868F-C553-424F-8412-B16147EA3C36}"/>
    <hyperlink ref="B22" r:id="rId7" location="audio-description-prerecorded" xr:uid="{B562D867-BAC4-4240-AEFE-8CDB40064D7C}"/>
    <hyperlink ref="B25" r:id="rId8" location="meaningful-sequence" xr:uid="{3977BCD4-DB22-4C60-B28F-BED40D2E720E}"/>
    <hyperlink ref="B26" r:id="rId9" location="sensory-characteristics" xr:uid="{4DCD668E-F30D-4D8E-A2BF-602A47B37AD0}"/>
    <hyperlink ref="B27" r:id="rId10" location="orientation" xr:uid="{B11E5EB7-C6EA-4A79-AB90-CFD1AA705EC8}"/>
    <hyperlink ref="B28" r:id="rId11" location="identify-input-purpose" xr:uid="{94491C03-F2DF-43AA-8D29-B796EF0E865B}"/>
    <hyperlink ref="B30" r:id="rId12" location="use-of-color" xr:uid="{12D04A0C-AAE4-41B7-A358-015BBDBD8E34}"/>
    <hyperlink ref="B31" r:id="rId13" location="audio-control" xr:uid="{A2B46466-2EFC-44CD-B185-054306F7ADD9}"/>
    <hyperlink ref="B32" r:id="rId14" location="contrast-minimum" xr:uid="{25E52131-8405-40FF-9129-72A49681F92D}"/>
    <hyperlink ref="B33" r:id="rId15" location="resize-text" xr:uid="{03C66A98-1E26-4402-933C-052D1774FA26}"/>
    <hyperlink ref="B34" r:id="rId16" location="images-of-text" xr:uid="{D7491FF4-86CD-4DDA-8FBC-904FE747C994}"/>
    <hyperlink ref="B35" r:id="rId17" location="reflow" xr:uid="{F5D7FF7C-2F80-49EE-A6F8-0809F3D30F02}"/>
    <hyperlink ref="B36" r:id="rId18" location="non-text-contrast" xr:uid="{3335B6EF-FC15-4BA6-8C8F-D2FC41EC5B72}"/>
    <hyperlink ref="B37" r:id="rId19" location="text-spacing" xr:uid="{A84FC481-4BFD-4219-9082-8CA19726086A}"/>
    <hyperlink ref="B38" r:id="rId20" location="content-on-hover-or-focus" xr:uid="{0591F316-92FA-4F2D-B47E-1C34C18F1647}"/>
    <hyperlink ref="B40" r:id="rId21" location="keyboard" xr:uid="{66337CB1-9A0D-4A38-ABDE-E59664242590}"/>
    <hyperlink ref="B41" r:id="rId22" location="no-keyboard-trap" xr:uid="{A03367DC-20EF-4CB4-9F40-3B710830CAC9}"/>
    <hyperlink ref="B43" r:id="rId23" location="character-key-shortcuts" xr:uid="{7D81A953-2FA8-4859-9AD2-1EADFF93DDA8}"/>
    <hyperlink ref="B44" r:id="rId24" location="timing-adjustable" xr:uid="{29AD7DC4-3E6D-4568-8566-074DC9A841A8}"/>
    <hyperlink ref="B45" r:id="rId25" location="pause-stop-hide" xr:uid="{C1A60888-0F11-4DC0-9391-F01E6808E974}"/>
    <hyperlink ref="B47" r:id="rId26" location="three-flashes-or-below-threshold" xr:uid="{AF90B950-7284-4F75-8C69-65B45B8A300F}"/>
    <hyperlink ref="B49" r:id="rId27" location="bypass-blocks" xr:uid="{2CF39BDE-3D26-4A92-BF1C-86D5EAD5561D}"/>
    <hyperlink ref="B50" r:id="rId28" location="page-titled" xr:uid="{D562AD0D-A87C-406B-9050-0E0C0046C2B0}"/>
    <hyperlink ref="B51" r:id="rId29" location="focus-order" xr:uid="{8460D718-CA5A-45AA-8F10-F4AE44FB8949}"/>
    <hyperlink ref="B52" r:id="rId30" location="link-purpose-in-context" xr:uid="{806FA21D-CC0D-441E-A5E1-5A5192BE1BB1}"/>
    <hyperlink ref="B53" r:id="rId31" location="multiple-ways" xr:uid="{ECCF5527-AEF4-458C-8A36-40F5E0D691DC}"/>
    <hyperlink ref="B54" r:id="rId32" location="headings-and-labels" xr:uid="{91CE85AD-7DE7-40C0-8976-BFD6E878456E}"/>
    <hyperlink ref="B55" r:id="rId33" location="focus-visible" xr:uid="{98B69011-B2D4-4EDF-A48C-7B75DADDA29B}"/>
    <hyperlink ref="B56" r:id="rId34" location="focus-not-obscured-minimum" xr:uid="{4448B4C5-9234-4134-9658-49420BC98FB3}"/>
    <hyperlink ref="B58" r:id="rId35" location="pointer-gestures" xr:uid="{ADEC7256-BD36-464A-BB71-B2015E996508}"/>
    <hyperlink ref="B59" r:id="rId36" location="pointer-cancellation" xr:uid="{653E941A-1B27-495D-A73F-B74B6FE9A441}"/>
    <hyperlink ref="B60" r:id="rId37" location="label-in-name" xr:uid="{E61575D8-5554-4982-BF1F-A41FB127EAD0}"/>
    <hyperlink ref="B61" r:id="rId38" location="motion-actuation" xr:uid="{F9E650D8-576D-43F5-BBA7-554949F747A9}"/>
    <hyperlink ref="B62" r:id="rId39" location="dragging-movements" xr:uid="{A08C715F-401F-48BD-93F1-57906830D1C4}"/>
    <hyperlink ref="B63" r:id="rId40" location="target-size-minimum" xr:uid="{948812E5-6DFF-4EF5-B822-B4640F936171}"/>
    <hyperlink ref="B65" r:id="rId41" location="language-of-page" xr:uid="{DA95BB75-FF99-4BDB-9FDD-41A18FBBDC45}"/>
    <hyperlink ref="B66" r:id="rId42" location="language-of-parts" xr:uid="{63629B34-51A7-4A6C-9D56-040FFF917B2F}"/>
    <hyperlink ref="B68" r:id="rId43" location="on-focus" xr:uid="{A06D9FAA-A652-4F31-8F30-6358487453EA}"/>
    <hyperlink ref="B69" r:id="rId44" location="on-input" xr:uid="{D3129389-776F-411E-BAAC-C25E69E35C41}"/>
    <hyperlink ref="B70" r:id="rId45" location="consistent-navigation" xr:uid="{C233F00A-401E-44BB-BD34-1F0C192429D2}"/>
    <hyperlink ref="B71" r:id="rId46" location="consistent-identification" xr:uid="{9B8EB1A1-B91A-479D-AA08-B8792E3156DA}"/>
    <hyperlink ref="B72" r:id="rId47" location="consistent-help" xr:uid="{65A69C44-43FC-4ADC-A6B2-765580525F3B}"/>
    <hyperlink ref="B74" r:id="rId48" location="error-identification" xr:uid="{B3AA0778-888E-4058-9E6C-0B1D242F024A}"/>
    <hyperlink ref="B75" r:id="rId49" location="labels-or-instructions" xr:uid="{D111A245-D65C-4C13-94E2-11AB5D332244}"/>
    <hyperlink ref="B76" r:id="rId50" location="error-suggestion" xr:uid="{92557B2E-8991-464A-88BF-883CE1E2E3D6}"/>
    <hyperlink ref="B77" r:id="rId51" location="error-prevention-legal-financial-data" xr:uid="{25A610C3-0E56-4A52-A070-F54C86DCA2CB}"/>
    <hyperlink ref="B78" r:id="rId52" location="redundant-entry" xr:uid="{A5FE7B12-AC2A-4D7F-9584-713703716D8A}"/>
    <hyperlink ref="B79" r:id="rId53" location="accessible-authentication-minimum" xr:uid="{62DF5629-7906-45D2-A52D-89CD818E8F65}"/>
    <hyperlink ref="B81" r:id="rId54" location="parsing" xr:uid="{B488DC98-77A4-4DE0-AD30-F14D7BE915D9}"/>
    <hyperlink ref="B82" r:id="rId55" location="name-role-value" xr:uid="{CFC5E0BC-A020-4769-86DE-C1B57879E322}"/>
    <hyperlink ref="B83" r:id="rId56" location="status-messages" xr:uid="{3E884E8E-24D1-4F15-A424-AC6FA55EE141}"/>
    <hyperlink ref="E11" r:id="rId57" xr:uid="{73F822C9-27FC-47F3-98FD-5AAFA945B0D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5EE7-C4E5-42DA-9271-71A36D86CBED}">
  <sheetPr>
    <tabColor rgb="FFFF0000"/>
  </sheetPr>
  <dimension ref="A1:O87"/>
  <sheetViews>
    <sheetView topLeftCell="B1"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228</v>
      </c>
    </row>
    <row r="3" spans="1:10" s="4" customFormat="1" ht="21.95" customHeight="1" x14ac:dyDescent="0.25">
      <c r="A3" s="53" t="s">
        <v>2</v>
      </c>
      <c r="B3" s="54"/>
      <c r="C3" s="5" t="s">
        <v>324</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28</v>
      </c>
      <c r="F10" s="8" t="str">
        <f>"Fail: " &amp; COUNTIF(E16:E83, "Fail")</f>
        <v>Fail: 4</v>
      </c>
      <c r="G10" s="9" t="str">
        <f>"Not applicable: " &amp; COUNTIF(E16:E83, "Not applicable")</f>
        <v>Not applicable: 24</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155</v>
      </c>
      <c r="F16" s="20" t="s">
        <v>229</v>
      </c>
      <c r="G16" s="20" t="s">
        <v>230</v>
      </c>
      <c r="H16" s="25" t="s">
        <v>231</v>
      </c>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232</v>
      </c>
      <c r="G24" s="20" t="s">
        <v>205</v>
      </c>
      <c r="H24" s="25" t="s">
        <v>206</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233</v>
      </c>
      <c r="G28" s="20" t="s">
        <v>234</v>
      </c>
      <c r="H28" s="25" t="s">
        <v>235</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155</v>
      </c>
      <c r="F52" s="20" t="s">
        <v>236</v>
      </c>
      <c r="G52" s="20" t="s">
        <v>237</v>
      </c>
      <c r="H52" s="25" t="s">
        <v>238</v>
      </c>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154</v>
      </c>
      <c r="F74" s="20"/>
      <c r="G74" s="20"/>
      <c r="H74" s="25"/>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154</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57" priority="9">
      <formula>E1="Not Applicable"</formula>
    </cfRule>
    <cfRule type="expression" dxfId="56" priority="10">
      <formula>E1="Fail"</formula>
    </cfRule>
    <cfRule type="expression" dxfId="55" priority="11">
      <formula>E1="Pass"</formula>
    </cfRule>
  </conditionalFormatting>
  <conditionalFormatting sqref="E13:E1048576">
    <cfRule type="expression" dxfId="54" priority="5">
      <formula>E13="Not Applicable"</formula>
    </cfRule>
    <cfRule type="expression" dxfId="53" priority="6">
      <formula>E13="Fail"</formula>
    </cfRule>
    <cfRule type="expression" dxfId="52" priority="7">
      <formula>E13="Pass"</formula>
    </cfRule>
  </conditionalFormatting>
  <conditionalFormatting sqref="F1:G2 G3 F4:G10 F41:I50 F52:H68 I52:I87 F70:H73 F75:H1048576">
    <cfRule type="expression" dxfId="51" priority="8">
      <formula>AND($E1="Fail", COUNTA($F1:$H1)&gt;0)</formula>
    </cfRule>
  </conditionalFormatting>
  <conditionalFormatting sqref="F13:H23 F29:H34">
    <cfRule type="expression" dxfId="50" priority="3">
      <formula>AND($E13="Fail", COUNTA($F13:$H13)&gt;0)</formula>
    </cfRule>
  </conditionalFormatting>
  <conditionalFormatting sqref="F35:I39">
    <cfRule type="expression" dxfId="49" priority="4">
      <formula>AND($E35="Fail", COUNTA($F35:$H35)&gt;0)</formula>
    </cfRule>
  </conditionalFormatting>
  <conditionalFormatting sqref="F40:I40">
    <cfRule type="expression" dxfId="48" priority="14">
      <formula>AND($E40="Fail", COUNTA(#REF!)&gt;0)</formula>
    </cfRule>
  </conditionalFormatting>
  <conditionalFormatting sqref="H1:H11 I14:I34 F69 H69">
    <cfRule type="expression" dxfId="47" priority="12">
      <formula>AND($E1="Fail", COUNTA($F1:$H1)&gt;0)</formula>
    </cfRule>
  </conditionalFormatting>
  <conditionalFormatting sqref="I51">
    <cfRule type="expression" dxfId="46" priority="13">
      <formula>AND($E51="Fail", COUNTA($F40:$H40)&gt;0)</formula>
    </cfRule>
  </conditionalFormatting>
  <conditionalFormatting sqref="F24:H28">
    <cfRule type="expression" dxfId="45" priority="2">
      <formula>AND($E24="Fail", COUNTA($F24:$H24)&gt;0)</formula>
    </cfRule>
  </conditionalFormatting>
  <conditionalFormatting sqref="F74:H74">
    <cfRule type="expression" dxfId="44" priority="1">
      <formula>AND($E74="Fail", COUNTA($F74:$H74)&gt;0)</formula>
    </cfRule>
  </conditionalFormatting>
  <hyperlinks>
    <hyperlink ref="B16" r:id="rId1" location="non-text-content" xr:uid="{95BB43AA-AD5D-42DA-B23F-D74B0B139F93}"/>
    <hyperlink ref="B24" r:id="rId2" location="info-and-relationships" xr:uid="{3C424E45-9B92-44C9-B25A-41052E42EAF9}"/>
    <hyperlink ref="B18" r:id="rId3" location="audio-only-and-video-only-prerecorded" xr:uid="{7F3F7067-A889-43C9-811A-75021D11E64A}"/>
    <hyperlink ref="B19" r:id="rId4" location="captions-prerecorded" xr:uid="{758CC45F-C804-4D6D-BC15-5879CAB11E2C}"/>
    <hyperlink ref="B20" r:id="rId5" location="audio-description-or-media-alternative-prerecorded" xr:uid="{8850A8FC-B194-4F7E-B67F-EB25DEB763E9}"/>
    <hyperlink ref="B21" r:id="rId6" location="captions-live" xr:uid="{9232A853-E2E7-40B6-97F7-B0296BFFFAE2}"/>
    <hyperlink ref="B22" r:id="rId7" location="audio-description-prerecorded" xr:uid="{AF1C6BBC-E50B-41F1-A34E-1C8C0E850D9E}"/>
    <hyperlink ref="B25" r:id="rId8" location="meaningful-sequence" xr:uid="{22DC5F96-DFFE-4FC2-B75D-318F78E27503}"/>
    <hyperlink ref="B26" r:id="rId9" location="sensory-characteristics" xr:uid="{F02602EB-82A3-41EF-BE73-16E267D9BEA1}"/>
    <hyperlink ref="B27" r:id="rId10" location="orientation" xr:uid="{31641E5B-670E-40AF-B62F-057185939082}"/>
    <hyperlink ref="B28" r:id="rId11" location="identify-input-purpose" xr:uid="{2E465628-A1D4-4208-8633-5D5F9511B678}"/>
    <hyperlink ref="B30" r:id="rId12" location="use-of-color" xr:uid="{ED02DFF3-31D4-431D-8129-34789F328BD5}"/>
    <hyperlink ref="B31" r:id="rId13" location="audio-control" xr:uid="{BF12AE3D-90F3-4045-8D72-304A1255232A}"/>
    <hyperlink ref="B32" r:id="rId14" location="contrast-minimum" xr:uid="{6EED07D9-3B7E-459E-B22B-7F9AE8F34858}"/>
    <hyperlink ref="B33" r:id="rId15" location="resize-text" xr:uid="{AC397748-41E0-4BAE-BD71-830766DDF29F}"/>
    <hyperlink ref="B34" r:id="rId16" location="images-of-text" xr:uid="{1A9D319C-43F8-449A-BEEE-9761D4243EAD}"/>
    <hyperlink ref="B35" r:id="rId17" location="reflow" xr:uid="{9BA4D43F-D72A-4540-AEFA-E4B3E5C9D716}"/>
    <hyperlink ref="B36" r:id="rId18" location="non-text-contrast" xr:uid="{1BF1C54D-FC5D-4C16-A975-7B2D85838AF0}"/>
    <hyperlink ref="B37" r:id="rId19" location="text-spacing" xr:uid="{F2B07C6D-7A84-4D99-A39F-013F68404E08}"/>
    <hyperlink ref="B38" r:id="rId20" location="content-on-hover-or-focus" xr:uid="{3F900EA8-D55E-4C31-8A3C-C1DBA5BE04F2}"/>
    <hyperlink ref="B40" r:id="rId21" location="keyboard" xr:uid="{83553761-8170-4CA2-99BE-B032D24A257B}"/>
    <hyperlink ref="B41" r:id="rId22" location="no-keyboard-trap" xr:uid="{58FE4B00-54C9-4FDA-BB13-7A60F2378842}"/>
    <hyperlink ref="B43" r:id="rId23" location="character-key-shortcuts" xr:uid="{CF8BA5C6-7914-489C-9380-5E4D672D6862}"/>
    <hyperlink ref="B44" r:id="rId24" location="timing-adjustable" xr:uid="{99BF1213-8796-4E57-B173-145A1DC5B325}"/>
    <hyperlink ref="B45" r:id="rId25" location="pause-stop-hide" xr:uid="{3923AEC1-AFB1-4940-B0B8-A636B5EBB90E}"/>
    <hyperlink ref="B47" r:id="rId26" location="three-flashes-or-below-threshold" xr:uid="{D525CD5F-1FCE-4A7B-90CE-123D939BA526}"/>
    <hyperlink ref="B49" r:id="rId27" location="bypass-blocks" xr:uid="{6D1F22C0-D88B-4997-8952-92823F37EC47}"/>
    <hyperlink ref="B50" r:id="rId28" location="page-titled" xr:uid="{8959D622-AD67-43CA-8BB2-FB343389BEFB}"/>
    <hyperlink ref="B51" r:id="rId29" location="focus-order" xr:uid="{6C52A876-9D81-4708-BE35-69B3E3E2C3B7}"/>
    <hyperlink ref="B52" r:id="rId30" location="link-purpose-in-context" xr:uid="{BC748CC1-7C81-4927-A129-22EDA129EDEE}"/>
    <hyperlink ref="B53" r:id="rId31" location="multiple-ways" xr:uid="{FF79A4D8-7837-4C44-A409-0674CB3A5C95}"/>
    <hyperlink ref="B54" r:id="rId32" location="headings-and-labels" xr:uid="{335B6D57-82C3-47E0-9721-74ADD2BEDF52}"/>
    <hyperlink ref="B55" r:id="rId33" location="focus-visible" xr:uid="{B8098786-9534-4A1D-930D-BE169A3262F0}"/>
    <hyperlink ref="B56" r:id="rId34" location="focus-not-obscured-minimum" xr:uid="{86C4A4B9-D846-4121-8507-5B26A3EB8E95}"/>
    <hyperlink ref="B58" r:id="rId35" location="pointer-gestures" xr:uid="{5FF7C385-988E-4736-890C-49AD144CA852}"/>
    <hyperlink ref="B59" r:id="rId36" location="pointer-cancellation" xr:uid="{915FD781-A48C-4724-BD18-931396EFA87D}"/>
    <hyperlink ref="B60" r:id="rId37" location="label-in-name" xr:uid="{73359431-594A-4A59-B960-0A4FF3FF4BF3}"/>
    <hyperlink ref="B61" r:id="rId38" location="motion-actuation" xr:uid="{8D37906F-5853-4FA1-87CC-7A796199C15C}"/>
    <hyperlink ref="B62" r:id="rId39" location="dragging-movements" xr:uid="{DA4C956A-56EC-4231-B89F-AE5BC509FC76}"/>
    <hyperlink ref="B63" r:id="rId40" location="target-size-minimum" xr:uid="{126CA76C-8DB3-447E-BEED-7E976A59F000}"/>
    <hyperlink ref="B65" r:id="rId41" location="language-of-page" xr:uid="{9C54CA2C-DBFD-4C03-BFCC-0886D66BD13E}"/>
    <hyperlink ref="B66" r:id="rId42" location="language-of-parts" xr:uid="{EDE8D252-6E11-4C15-A27B-B445D8F4151D}"/>
    <hyperlink ref="B68" r:id="rId43" location="on-focus" xr:uid="{D04D6211-7EBA-4C2D-89DB-40FD6E403304}"/>
    <hyperlink ref="B69" r:id="rId44" location="on-input" xr:uid="{5FA85ACC-C624-4EE1-82FD-2E2E198D1B2E}"/>
    <hyperlink ref="B70" r:id="rId45" location="consistent-navigation" xr:uid="{5AABD763-6F8B-48F7-8B64-E7A8930E3EC4}"/>
    <hyperlink ref="B71" r:id="rId46" location="consistent-identification" xr:uid="{1A35A397-248C-4566-BDFC-C11E36DDE569}"/>
    <hyperlink ref="B72" r:id="rId47" location="consistent-help" xr:uid="{212F84DD-6719-42B1-A254-1D3DDD72E9CD}"/>
    <hyperlink ref="B74" r:id="rId48" location="error-identification" xr:uid="{AEEA2EE6-5A4D-4BAC-9035-7F1BDB213444}"/>
    <hyperlink ref="B75" r:id="rId49" location="labels-or-instructions" xr:uid="{FEF8EDCA-1016-40EC-92C2-36A278B55E1B}"/>
    <hyperlink ref="B76" r:id="rId50" location="error-suggestion" xr:uid="{9A53AC95-AC79-459F-9A09-BF8EB1B62692}"/>
    <hyperlink ref="B77" r:id="rId51" location="error-prevention-legal-financial-data" xr:uid="{768EC34D-1BF1-4AC1-9E08-A28600DDFEDD}"/>
    <hyperlink ref="B78" r:id="rId52" location="redundant-entry" xr:uid="{B5A19146-34F9-49A6-B3A5-69B273D44B7B}"/>
    <hyperlink ref="B79" r:id="rId53" location="accessible-authentication-minimum" xr:uid="{A006DFF0-779E-4B18-9153-9DDD54AE675D}"/>
    <hyperlink ref="B81" r:id="rId54" location="parsing" xr:uid="{DC77F82C-4BD3-43E0-825C-A9A722243225}"/>
    <hyperlink ref="B82" r:id="rId55" location="name-role-value" xr:uid="{2E086FE8-B370-4274-A977-A5AD8B8030CE}"/>
    <hyperlink ref="B83" r:id="rId56" location="status-messages" xr:uid="{38410117-5321-4E9B-88FB-3294BF9A6013}"/>
    <hyperlink ref="E11" r:id="rId57" xr:uid="{EE86302E-67A0-4474-858A-234D64E8472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666C-C869-44FB-B680-2FF19E0341F4}">
  <sheetPr>
    <tabColor rgb="FFFF000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213</v>
      </c>
    </row>
    <row r="3" spans="1:10" s="4" customFormat="1" ht="21.95" customHeight="1" x14ac:dyDescent="0.25">
      <c r="A3" s="53" t="s">
        <v>2</v>
      </c>
      <c r="B3" s="54"/>
      <c r="C3" s="5" t="s">
        <v>324</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214</v>
      </c>
      <c r="G24" s="20" t="s">
        <v>205</v>
      </c>
      <c r="H24" s="25" t="s">
        <v>206</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322</v>
      </c>
      <c r="G28" s="20" t="s">
        <v>208</v>
      </c>
      <c r="H28" s="25" t="s">
        <v>209</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210</v>
      </c>
      <c r="G74" s="20" t="s">
        <v>161</v>
      </c>
      <c r="H74" s="25" t="s">
        <v>211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43" priority="9">
      <formula>E1="Not Applicable"</formula>
    </cfRule>
    <cfRule type="expression" dxfId="42" priority="10">
      <formula>E1="Fail"</formula>
    </cfRule>
    <cfRule type="expression" dxfId="41" priority="11">
      <formula>E1="Pass"</formula>
    </cfRule>
  </conditionalFormatting>
  <conditionalFormatting sqref="E13:E1048576">
    <cfRule type="expression" dxfId="40" priority="5">
      <formula>E13="Not Applicable"</formula>
    </cfRule>
    <cfRule type="expression" dxfId="39" priority="6">
      <formula>E13="Fail"</formula>
    </cfRule>
    <cfRule type="expression" dxfId="38" priority="7">
      <formula>E13="Pass"</formula>
    </cfRule>
  </conditionalFormatting>
  <conditionalFormatting sqref="F1:G2 G3 F4:G10 F41:I50 F52:H68 I52:I87 F70:H73 F75:H1048576">
    <cfRule type="expression" dxfId="37" priority="8">
      <formula>AND($E1="Fail", COUNTA($F1:$H1)&gt;0)</formula>
    </cfRule>
  </conditionalFormatting>
  <conditionalFormatting sqref="F13:H23 F29:H34">
    <cfRule type="expression" dxfId="36" priority="3">
      <formula>AND($E13="Fail", COUNTA($F13:$H13)&gt;0)</formula>
    </cfRule>
  </conditionalFormatting>
  <conditionalFormatting sqref="F35:I39">
    <cfRule type="expression" dxfId="35" priority="4">
      <formula>AND($E35="Fail", COUNTA($F35:$H35)&gt;0)</formula>
    </cfRule>
  </conditionalFormatting>
  <conditionalFormatting sqref="F40:I40">
    <cfRule type="expression" dxfId="34" priority="14">
      <formula>AND($E40="Fail", COUNTA(#REF!)&gt;0)</formula>
    </cfRule>
  </conditionalFormatting>
  <conditionalFormatting sqref="H1:H11 I14:I34 F69 H69">
    <cfRule type="expression" dxfId="33" priority="12">
      <formula>AND($E1="Fail", COUNTA($F1:$H1)&gt;0)</formula>
    </cfRule>
  </conditionalFormatting>
  <conditionalFormatting sqref="I51">
    <cfRule type="expression" dxfId="32" priority="13">
      <formula>AND($E51="Fail", COUNTA($F40:$H40)&gt;0)</formula>
    </cfRule>
  </conditionalFormatting>
  <conditionalFormatting sqref="F74:H74">
    <cfRule type="expression" dxfId="31" priority="2">
      <formula>AND($E74="Fail", COUNTA($F74:$H74)&gt;0)</formula>
    </cfRule>
  </conditionalFormatting>
  <conditionalFormatting sqref="F24:H28">
    <cfRule type="expression" dxfId="30" priority="1">
      <formula>AND($E24="Fail", COUNTA($F24:$H24)&gt;0)</formula>
    </cfRule>
  </conditionalFormatting>
  <hyperlinks>
    <hyperlink ref="B16" r:id="rId1" location="non-text-content" xr:uid="{893EAC4F-0365-4B8F-95F9-3C532089C51B}"/>
    <hyperlink ref="B24" r:id="rId2" location="info-and-relationships" xr:uid="{39FD38E7-ED6D-4D39-B776-57F6A3AB6150}"/>
    <hyperlink ref="B18" r:id="rId3" location="audio-only-and-video-only-prerecorded" xr:uid="{9AB323A0-DD30-4140-ADC6-AA81603A232C}"/>
    <hyperlink ref="B19" r:id="rId4" location="captions-prerecorded" xr:uid="{0633B0A3-94C0-4AB0-8735-B9D49068D0D6}"/>
    <hyperlink ref="B20" r:id="rId5" location="audio-description-or-media-alternative-prerecorded" xr:uid="{9A7B16EE-6169-4CFA-A6BA-F66732732ECA}"/>
    <hyperlink ref="B21" r:id="rId6" location="captions-live" xr:uid="{425D5F28-5E62-4D77-A7CA-C4737F8F7258}"/>
    <hyperlink ref="B22" r:id="rId7" location="audio-description-prerecorded" xr:uid="{44FFA60C-0D32-44BA-A232-7D732D34CA2D}"/>
    <hyperlink ref="B25" r:id="rId8" location="meaningful-sequence" xr:uid="{E3512415-5247-4FE2-851E-C02AD2B24A08}"/>
    <hyperlink ref="B26" r:id="rId9" location="sensory-characteristics" xr:uid="{D6720C6E-CE34-4DE0-9276-CA3607DA7BBF}"/>
    <hyperlink ref="B27" r:id="rId10" location="orientation" xr:uid="{8A9F5617-3369-497D-8628-1BF585A4806D}"/>
    <hyperlink ref="B28" r:id="rId11" location="identify-input-purpose" xr:uid="{D11B2D46-C418-4378-84A1-7B8257365A5D}"/>
    <hyperlink ref="B30" r:id="rId12" location="use-of-color" xr:uid="{27EB46B6-81DB-49EE-B79A-AE0C47884449}"/>
    <hyperlink ref="B31" r:id="rId13" location="audio-control" xr:uid="{49EEF242-121C-401F-9BAE-DFDDEDAA9EB3}"/>
    <hyperlink ref="B32" r:id="rId14" location="contrast-minimum" xr:uid="{A31C330C-BF0A-4F6B-B89E-397D96ACFE19}"/>
    <hyperlink ref="B33" r:id="rId15" location="resize-text" xr:uid="{AD9B7B14-A6B5-4889-A21D-8B8EA97A7968}"/>
    <hyperlink ref="B34" r:id="rId16" location="images-of-text" xr:uid="{2AE31387-7F46-42FD-A7CC-C810E1A980C0}"/>
    <hyperlink ref="B35" r:id="rId17" location="reflow" xr:uid="{3000DEC3-FD19-4233-BD33-F7FA2D5FC652}"/>
    <hyperlink ref="B36" r:id="rId18" location="non-text-contrast" xr:uid="{5CAE4D2C-D691-4F6F-8388-365CBAC0D83E}"/>
    <hyperlink ref="B37" r:id="rId19" location="text-spacing" xr:uid="{F821E90B-9240-45D9-A117-1C3BB7746E69}"/>
    <hyperlink ref="B38" r:id="rId20" location="content-on-hover-or-focus" xr:uid="{E08AFC60-9B7B-4E01-A4C8-8D7BCD851221}"/>
    <hyperlink ref="B40" r:id="rId21" location="keyboard" xr:uid="{213757A5-8798-435E-8B0C-782A670553DB}"/>
    <hyperlink ref="B41" r:id="rId22" location="no-keyboard-trap" xr:uid="{6D888F46-7000-435F-AFAF-4D2D7B8B43D4}"/>
    <hyperlink ref="B43" r:id="rId23" location="character-key-shortcuts" xr:uid="{64A82662-E757-427F-BB56-944792ECFA41}"/>
    <hyperlink ref="B44" r:id="rId24" location="timing-adjustable" xr:uid="{B7376098-E4B9-49B7-8D6A-D96A3381146C}"/>
    <hyperlink ref="B45" r:id="rId25" location="pause-stop-hide" xr:uid="{961D5A4B-B271-47CC-8F0A-C21D801F40DA}"/>
    <hyperlink ref="B47" r:id="rId26" location="three-flashes-or-below-threshold" xr:uid="{458866EE-D500-4F7B-834E-B3F5FEBE3252}"/>
    <hyperlink ref="B49" r:id="rId27" location="bypass-blocks" xr:uid="{391DC3FC-F6D2-4812-92D8-E4FC68180933}"/>
    <hyperlink ref="B50" r:id="rId28" location="page-titled" xr:uid="{3B133BBC-F286-4FA1-997F-FB89AF389E3D}"/>
    <hyperlink ref="B51" r:id="rId29" location="focus-order" xr:uid="{6AE703C1-5F2C-4F0C-9F2A-BFA1EB1A0DC6}"/>
    <hyperlink ref="B52" r:id="rId30" location="link-purpose-in-context" xr:uid="{562C53A7-80DE-442F-BF73-421F6FCB7100}"/>
    <hyperlink ref="B53" r:id="rId31" location="multiple-ways" xr:uid="{5B066DE4-16D5-4805-B180-336C36150467}"/>
    <hyperlink ref="B54" r:id="rId32" location="headings-and-labels" xr:uid="{F26C91CE-1661-4EC7-A457-AB422163A2F8}"/>
    <hyperlink ref="B55" r:id="rId33" location="focus-visible" xr:uid="{B837B8B5-4AD3-4E7A-960D-A743F56923EC}"/>
    <hyperlink ref="B56" r:id="rId34" location="focus-not-obscured-minimum" xr:uid="{83F8693E-1D80-4AE0-B755-CAF0AAB4706E}"/>
    <hyperlink ref="B58" r:id="rId35" location="pointer-gestures" xr:uid="{2D664F65-5B96-4A8B-A9F3-BB24A2FD6A76}"/>
    <hyperlink ref="B59" r:id="rId36" location="pointer-cancellation" xr:uid="{E6B51DDD-E0D4-4BD5-BDDD-C8A8730E99E4}"/>
    <hyperlink ref="B60" r:id="rId37" location="label-in-name" xr:uid="{35B6DC8D-2F8E-4BFF-BD48-4CFCAB6C6E5E}"/>
    <hyperlink ref="B61" r:id="rId38" location="motion-actuation" xr:uid="{9EFB21ED-1CE3-4AE1-884C-39BFDFCD1094}"/>
    <hyperlink ref="B62" r:id="rId39" location="dragging-movements" xr:uid="{7231F6CC-F156-4D23-AD0C-5D498AFF8793}"/>
    <hyperlink ref="B63" r:id="rId40" location="target-size-minimum" xr:uid="{C95AA6C5-B03B-4E5D-955C-7F49832BCAE2}"/>
    <hyperlink ref="B65" r:id="rId41" location="language-of-page" xr:uid="{CFB31299-9BE9-49FF-B40D-F8E58D908A9E}"/>
    <hyperlink ref="B66" r:id="rId42" location="language-of-parts" xr:uid="{C521D276-1AA3-45A6-BD25-7A574947C44A}"/>
    <hyperlink ref="B68" r:id="rId43" location="on-focus" xr:uid="{E6D503A8-6241-450F-8C15-8BEB73184954}"/>
    <hyperlink ref="B69" r:id="rId44" location="on-input" xr:uid="{9453F5F8-EFAD-438C-B5D1-5926464DB934}"/>
    <hyperlink ref="B70" r:id="rId45" location="consistent-navigation" xr:uid="{C1F3879F-8897-47FA-9E7A-5FAC5F911553}"/>
    <hyperlink ref="B71" r:id="rId46" location="consistent-identification" xr:uid="{2322D6F0-F480-4B3B-8BF8-7E7BA3FE231D}"/>
    <hyperlink ref="B72" r:id="rId47" location="consistent-help" xr:uid="{D8E85400-0685-4B3C-BA4F-77EA4225C082}"/>
    <hyperlink ref="B74" r:id="rId48" location="error-identification" xr:uid="{8AAE680F-AA40-4D48-9B42-C1FE8D18050B}"/>
    <hyperlink ref="B75" r:id="rId49" location="labels-or-instructions" xr:uid="{8E21620D-64E5-464D-88E0-77AB1A0D8694}"/>
    <hyperlink ref="B76" r:id="rId50" location="error-suggestion" xr:uid="{B154B2F4-7D3D-47D7-B72D-BF859C30CF2B}"/>
    <hyperlink ref="B77" r:id="rId51" location="error-prevention-legal-financial-data" xr:uid="{6E885D9C-A8A6-4F7A-8026-5424D798F396}"/>
    <hyperlink ref="B78" r:id="rId52" location="redundant-entry" xr:uid="{39417956-3FC5-4276-80E1-DBA8472BD446}"/>
    <hyperlink ref="B79" r:id="rId53" location="accessible-authentication-minimum" xr:uid="{493EA37C-95C0-444A-B649-6EF865466C22}"/>
    <hyperlink ref="B81" r:id="rId54" location="parsing" xr:uid="{54CCE828-2783-48A7-BABB-EC65CC5E3B46}"/>
    <hyperlink ref="B82" r:id="rId55" location="name-role-value" xr:uid="{D6680F6F-B490-4B76-936E-4DCCB21D59B5}"/>
    <hyperlink ref="B83" r:id="rId56" location="status-messages" xr:uid="{350F0B19-2C28-48D2-83A2-2C5520D39946}"/>
    <hyperlink ref="E11" r:id="rId57" xr:uid="{42CD9BE8-8BEC-4A60-BD3E-3532550483A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B100-A1E9-4783-838F-C96FA4D20E8C}">
  <sheetPr>
    <tabColor rgb="FFFF000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216</v>
      </c>
    </row>
    <row r="3" spans="1:10" s="4" customFormat="1" ht="21.95" customHeight="1" x14ac:dyDescent="0.25">
      <c r="A3" s="53" t="s">
        <v>2</v>
      </c>
      <c r="B3" s="54"/>
      <c r="C3" s="5" t="s">
        <v>324</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110.25" x14ac:dyDescent="0.25">
      <c r="A24" s="20">
        <v>7</v>
      </c>
      <c r="B24" s="47" t="s">
        <v>37</v>
      </c>
      <c r="C24" s="21" t="s">
        <v>22</v>
      </c>
      <c r="D24" s="20" t="s">
        <v>38</v>
      </c>
      <c r="E24" s="44" t="s">
        <v>155</v>
      </c>
      <c r="F24" s="20" t="s">
        <v>217</v>
      </c>
      <c r="G24" s="20" t="s">
        <v>218</v>
      </c>
      <c r="H24" s="25" t="s">
        <v>219</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220</v>
      </c>
      <c r="G28" s="20" t="s">
        <v>185</v>
      </c>
      <c r="H28" s="25" t="s">
        <v>221</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210</v>
      </c>
      <c r="G74" s="20" t="s">
        <v>161</v>
      </c>
      <c r="H74" s="25" t="s">
        <v>211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29" priority="9">
      <formula>E1="Not Applicable"</formula>
    </cfRule>
    <cfRule type="expression" dxfId="28" priority="10">
      <formula>E1="Fail"</formula>
    </cfRule>
    <cfRule type="expression" dxfId="27" priority="11">
      <formula>E1="Pass"</formula>
    </cfRule>
  </conditionalFormatting>
  <conditionalFormatting sqref="E13:E1048576">
    <cfRule type="expression" dxfId="26" priority="5">
      <formula>E13="Not Applicable"</formula>
    </cfRule>
    <cfRule type="expression" dxfId="25" priority="6">
      <formula>E13="Fail"</formula>
    </cfRule>
    <cfRule type="expression" dxfId="24" priority="7">
      <formula>E13="Pass"</formula>
    </cfRule>
  </conditionalFormatting>
  <conditionalFormatting sqref="F1:G2 G3 F4:G10 F41:I50 F52:H68 I52:I87 F70:H73 F75:H1048576">
    <cfRule type="expression" dxfId="23" priority="8">
      <formula>AND($E1="Fail", COUNTA($F1:$H1)&gt;0)</formula>
    </cfRule>
  </conditionalFormatting>
  <conditionalFormatting sqref="F13:H23 F29:H34">
    <cfRule type="expression" dxfId="22" priority="3">
      <formula>AND($E13="Fail", COUNTA($F13:$H13)&gt;0)</formula>
    </cfRule>
  </conditionalFormatting>
  <conditionalFormatting sqref="F35:I39">
    <cfRule type="expression" dxfId="21" priority="4">
      <formula>AND($E35="Fail", COUNTA($F35:$H35)&gt;0)</formula>
    </cfRule>
  </conditionalFormatting>
  <conditionalFormatting sqref="F40:I40">
    <cfRule type="expression" dxfId="20" priority="14">
      <formula>AND($E40="Fail", COUNTA(#REF!)&gt;0)</formula>
    </cfRule>
  </conditionalFormatting>
  <conditionalFormatting sqref="H1:H11 I14:I34 F69 H69">
    <cfRule type="expression" dxfId="19" priority="12">
      <formula>AND($E1="Fail", COUNTA($F1:$H1)&gt;0)</formula>
    </cfRule>
  </conditionalFormatting>
  <conditionalFormatting sqref="I51">
    <cfRule type="expression" dxfId="18" priority="13">
      <formula>AND($E51="Fail", COUNTA($F40:$H40)&gt;0)</formula>
    </cfRule>
  </conditionalFormatting>
  <conditionalFormatting sqref="F74:H74">
    <cfRule type="expression" dxfId="17" priority="2">
      <formula>AND($E74="Fail", COUNTA($F74:$H74)&gt;0)</formula>
    </cfRule>
  </conditionalFormatting>
  <conditionalFormatting sqref="F24:H28">
    <cfRule type="expression" dxfId="16" priority="1">
      <formula>AND($E24="Fail", COUNTA($F24:$H24)&gt;0)</formula>
    </cfRule>
  </conditionalFormatting>
  <hyperlinks>
    <hyperlink ref="B16" r:id="rId1" location="non-text-content" xr:uid="{8C93D3E7-8650-4F17-A33D-64FC8709004A}"/>
    <hyperlink ref="B24" r:id="rId2" location="info-and-relationships" xr:uid="{E25471C1-997A-4104-A832-6E6112F19E81}"/>
    <hyperlink ref="B18" r:id="rId3" location="audio-only-and-video-only-prerecorded" xr:uid="{D5DFD9B2-0B8E-48F4-A678-4A9347ED3F83}"/>
    <hyperlink ref="B19" r:id="rId4" location="captions-prerecorded" xr:uid="{C939B7B3-9DE3-442C-B82A-8ECDC90C258B}"/>
    <hyperlink ref="B20" r:id="rId5" location="audio-description-or-media-alternative-prerecorded" xr:uid="{9146250E-3477-46CA-8350-28747A4936D4}"/>
    <hyperlink ref="B21" r:id="rId6" location="captions-live" xr:uid="{B6CD42DE-7444-4230-BC48-AF0FC7F9FAD8}"/>
    <hyperlink ref="B22" r:id="rId7" location="audio-description-prerecorded" xr:uid="{710F5D89-8C30-4336-BCBD-1D89F96D0F1E}"/>
    <hyperlink ref="B25" r:id="rId8" location="meaningful-sequence" xr:uid="{FF180B8F-CA0D-4420-AC86-F817E22C46DE}"/>
    <hyperlink ref="B26" r:id="rId9" location="sensory-characteristics" xr:uid="{9AD7982A-8ED4-4DDE-B4EC-E4A218C62ADC}"/>
    <hyperlink ref="B27" r:id="rId10" location="orientation" xr:uid="{1ECCC033-F31F-4AE1-A336-A2EC6196005D}"/>
    <hyperlink ref="B28" r:id="rId11" location="identify-input-purpose" xr:uid="{644052BE-D7EF-439A-86A3-32F73930C3BE}"/>
    <hyperlink ref="B30" r:id="rId12" location="use-of-color" xr:uid="{FAE6B6B5-3D7F-4AB5-AB57-B92210D0DE57}"/>
    <hyperlink ref="B31" r:id="rId13" location="audio-control" xr:uid="{B0AD06E7-2223-4EDE-BA9B-99D67D66132E}"/>
    <hyperlink ref="B32" r:id="rId14" location="contrast-minimum" xr:uid="{327F2CB2-2A80-4C93-ABA3-59503AD963E9}"/>
    <hyperlink ref="B33" r:id="rId15" location="resize-text" xr:uid="{0BFF18E5-F661-4F9A-AF99-FC42E9FFF3D8}"/>
    <hyperlink ref="B34" r:id="rId16" location="images-of-text" xr:uid="{C8E62497-0A59-4DFD-9E3C-25CF582A2B8D}"/>
    <hyperlink ref="B35" r:id="rId17" location="reflow" xr:uid="{E39819F2-D332-4CA8-9CA5-ED5391079FD8}"/>
    <hyperlink ref="B36" r:id="rId18" location="non-text-contrast" xr:uid="{A45E0E4F-BFFE-4D28-8442-257E49F505B2}"/>
    <hyperlink ref="B37" r:id="rId19" location="text-spacing" xr:uid="{7DF0D9F4-528B-4D5C-8DD5-79D667732FD6}"/>
    <hyperlink ref="B38" r:id="rId20" location="content-on-hover-or-focus" xr:uid="{9BBC9913-9ABE-427F-A14A-D9B51D156376}"/>
    <hyperlink ref="B40" r:id="rId21" location="keyboard" xr:uid="{94D10659-F3E2-4D67-80AA-0758C94C0AB4}"/>
    <hyperlink ref="B41" r:id="rId22" location="no-keyboard-trap" xr:uid="{A8BD441C-0F3F-4156-BB82-7CA9A56814A4}"/>
    <hyperlink ref="B43" r:id="rId23" location="character-key-shortcuts" xr:uid="{D3C6097E-EA34-46D7-8020-D770FE93146A}"/>
    <hyperlink ref="B44" r:id="rId24" location="timing-adjustable" xr:uid="{025FCBCE-7902-4A65-9627-FEA719F96568}"/>
    <hyperlink ref="B45" r:id="rId25" location="pause-stop-hide" xr:uid="{0249A663-CC8D-4633-90BF-1B295D2746B1}"/>
    <hyperlink ref="B47" r:id="rId26" location="three-flashes-or-below-threshold" xr:uid="{1D908529-449B-43D8-B4E7-A359A873BF8A}"/>
    <hyperlink ref="B49" r:id="rId27" location="bypass-blocks" xr:uid="{CFCA6695-1F45-4C2F-AEF8-318337BE5C8E}"/>
    <hyperlink ref="B50" r:id="rId28" location="page-titled" xr:uid="{3D990979-B6CC-46F1-B8AD-1A4376480AA8}"/>
    <hyperlink ref="B51" r:id="rId29" location="focus-order" xr:uid="{04B2CD53-5380-48DB-AC95-0D82A8C0D24F}"/>
    <hyperlink ref="B52" r:id="rId30" location="link-purpose-in-context" xr:uid="{85E91B05-3964-4E1A-B71F-5C5A87ED4DE9}"/>
    <hyperlink ref="B53" r:id="rId31" location="multiple-ways" xr:uid="{0FA605DB-F83C-4B64-B50F-102C0C1E5BC2}"/>
    <hyperlink ref="B54" r:id="rId32" location="headings-and-labels" xr:uid="{61DD092C-2681-42BD-9AC6-E767B77CADFC}"/>
    <hyperlink ref="B55" r:id="rId33" location="focus-visible" xr:uid="{99782753-5BD5-4598-82F7-948411B35847}"/>
    <hyperlink ref="B56" r:id="rId34" location="focus-not-obscured-minimum" xr:uid="{688FABB4-30F3-42B5-9A40-F7797AA68C07}"/>
    <hyperlink ref="B58" r:id="rId35" location="pointer-gestures" xr:uid="{64BA330C-9C07-4E1C-84BA-DD44D6BE239E}"/>
    <hyperlink ref="B59" r:id="rId36" location="pointer-cancellation" xr:uid="{DF176B5B-AAAB-4F66-A780-215C16DB4294}"/>
    <hyperlink ref="B60" r:id="rId37" location="label-in-name" xr:uid="{8066EF34-53B5-44D6-8BD3-0DA668AAE5B6}"/>
    <hyperlink ref="B61" r:id="rId38" location="motion-actuation" xr:uid="{7383B5FC-C640-41B4-B57D-5F233E726AF5}"/>
    <hyperlink ref="B62" r:id="rId39" location="dragging-movements" xr:uid="{80379E96-DFAE-48F0-BAE6-FC18004CBE14}"/>
    <hyperlink ref="B63" r:id="rId40" location="target-size-minimum" xr:uid="{CFA219BD-21A1-4025-AF68-74CDC802741C}"/>
    <hyperlink ref="B65" r:id="rId41" location="language-of-page" xr:uid="{5331326D-E0D6-4EED-8FDE-125D3956490F}"/>
    <hyperlink ref="B66" r:id="rId42" location="language-of-parts" xr:uid="{85912D5A-F40E-4094-8101-F209375CB43C}"/>
    <hyperlink ref="B68" r:id="rId43" location="on-focus" xr:uid="{2990B047-E778-4BAF-AC55-34F69D67EA59}"/>
    <hyperlink ref="B69" r:id="rId44" location="on-input" xr:uid="{0AF56542-75F8-4633-B6B9-832C8A5279C2}"/>
    <hyperlink ref="B70" r:id="rId45" location="consistent-navigation" xr:uid="{6FE0C6EE-DBCC-4512-A252-131667255DA9}"/>
    <hyperlink ref="B71" r:id="rId46" location="consistent-identification" xr:uid="{89FDD54B-80A3-427A-9A10-25C056E199A7}"/>
    <hyperlink ref="B72" r:id="rId47" location="consistent-help" xr:uid="{09CEBE00-F942-4BD8-AB3C-C9984A0493CA}"/>
    <hyperlink ref="B74" r:id="rId48" location="error-identification" xr:uid="{772A3BA7-B17A-45AD-BEB5-A2BC4C66CBCC}"/>
    <hyperlink ref="B75" r:id="rId49" location="labels-or-instructions" xr:uid="{BD44AADF-89DE-4C71-8B0B-F4FF23CCF7ED}"/>
    <hyperlink ref="B76" r:id="rId50" location="error-suggestion" xr:uid="{0AF290CF-01B4-4DCA-A553-F18D768DD6EB}"/>
    <hyperlink ref="B77" r:id="rId51" location="error-prevention-legal-financial-data" xr:uid="{44EE6496-23B6-42EE-9076-F5F317BD739F}"/>
    <hyperlink ref="B78" r:id="rId52" location="redundant-entry" xr:uid="{26DA4E17-390F-425F-8D49-4288C9E65242}"/>
    <hyperlink ref="B79" r:id="rId53" location="accessible-authentication-minimum" xr:uid="{8741B26A-D926-4E92-8319-38700D9EB162}"/>
    <hyperlink ref="B81" r:id="rId54" location="parsing" xr:uid="{0B41020A-168A-4253-A5FA-60C57E223C8A}"/>
    <hyperlink ref="B82" r:id="rId55" location="name-role-value" xr:uid="{2B7A18E7-764E-46BA-967C-54273BE52D50}"/>
    <hyperlink ref="B83" r:id="rId56" location="status-messages" xr:uid="{97F9690A-1830-41C2-892C-6D380B32AEDC}"/>
    <hyperlink ref="E11" r:id="rId57" xr:uid="{D9562C94-4A90-44BC-B6C4-2676FFE0DB9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E491-DA67-4289-B8F6-4FAD7B60ACD9}">
  <sheetPr>
    <tabColor rgb="FFFF000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222</v>
      </c>
    </row>
    <row r="3" spans="1:10" s="4" customFormat="1" ht="21.95" customHeight="1" x14ac:dyDescent="0.25">
      <c r="A3" s="53" t="s">
        <v>2</v>
      </c>
      <c r="B3" s="54"/>
      <c r="C3" s="5" t="s">
        <v>324</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32</v>
      </c>
      <c r="F10" s="8" t="str">
        <f>"Fail: " &amp; COUNTIF(E16:E83, "Fail")</f>
        <v>Fail: 2</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223</v>
      </c>
      <c r="G24" s="20" t="s">
        <v>224</v>
      </c>
      <c r="H24" s="25" t="s">
        <v>225</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227</v>
      </c>
      <c r="G28" s="20" t="s">
        <v>185</v>
      </c>
      <c r="H28" s="25" t="s">
        <v>226</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41</v>
      </c>
      <c r="F74" s="20"/>
      <c r="G74" s="20"/>
      <c r="H74" s="25"/>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15" priority="11">
      <formula>E1="Not Applicable"</formula>
    </cfRule>
    <cfRule type="expression" dxfId="14" priority="12">
      <formula>E1="Fail"</formula>
    </cfRule>
    <cfRule type="expression" dxfId="13" priority="13">
      <formula>E1="Pass"</formula>
    </cfRule>
  </conditionalFormatting>
  <conditionalFormatting sqref="E13:E1048576">
    <cfRule type="expression" dxfId="12" priority="7">
      <formula>E13="Not Applicable"</formula>
    </cfRule>
    <cfRule type="expression" dxfId="11" priority="8">
      <formula>E13="Fail"</formula>
    </cfRule>
    <cfRule type="expression" dxfId="10" priority="9">
      <formula>E13="Pass"</formula>
    </cfRule>
  </conditionalFormatting>
  <conditionalFormatting sqref="F1:G2 G3 F4:G10 F41:I50 F52:H68 I52:I87 F70:H73 F75:H1048576">
    <cfRule type="expression" dxfId="9" priority="10">
      <formula>AND($E1="Fail", COUNTA($F1:$H1)&gt;0)</formula>
    </cfRule>
  </conditionalFormatting>
  <conditionalFormatting sqref="F13:H23 F29:H34">
    <cfRule type="expression" dxfId="8" priority="5">
      <formula>AND($E13="Fail", COUNTA($F13:$H13)&gt;0)</formula>
    </cfRule>
  </conditionalFormatting>
  <conditionalFormatting sqref="F35:I39">
    <cfRule type="expression" dxfId="7" priority="6">
      <formula>AND($E35="Fail", COUNTA($F35:$H35)&gt;0)</formula>
    </cfRule>
  </conditionalFormatting>
  <conditionalFormatting sqref="F40:I40">
    <cfRule type="expression" dxfId="6" priority="16">
      <formula>AND($E40="Fail", COUNTA(#REF!)&gt;0)</formula>
    </cfRule>
  </conditionalFormatting>
  <conditionalFormatting sqref="H1:H11 I14:I34 F69 H69">
    <cfRule type="expression" dxfId="5" priority="14">
      <formula>AND($E1="Fail", COUNTA($F1:$H1)&gt;0)</formula>
    </cfRule>
  </conditionalFormatting>
  <conditionalFormatting sqref="I51">
    <cfRule type="expression" dxfId="4" priority="15">
      <formula>AND($E51="Fail", COUNTA($F40:$H40)&gt;0)</formula>
    </cfRule>
  </conditionalFormatting>
  <conditionalFormatting sqref="F74:H74">
    <cfRule type="expression" dxfId="3" priority="4">
      <formula>AND($E74="Fail", COUNTA($F74:$H74)&gt;0)</formula>
    </cfRule>
  </conditionalFormatting>
  <conditionalFormatting sqref="F25:H27">
    <cfRule type="expression" dxfId="2" priority="3">
      <formula>AND($E25="Fail", COUNTA($F25:$H25)&gt;0)</formula>
    </cfRule>
  </conditionalFormatting>
  <conditionalFormatting sqref="F24:H24">
    <cfRule type="expression" dxfId="1" priority="2">
      <formula>AND($E24="Fail", COUNTA($F24:$H24)&gt;0)</formula>
    </cfRule>
  </conditionalFormatting>
  <conditionalFormatting sqref="F28:H28">
    <cfRule type="expression" dxfId="0" priority="1">
      <formula>AND($E28="Fail", COUNTA($F28:$H28)&gt;0)</formula>
    </cfRule>
  </conditionalFormatting>
  <hyperlinks>
    <hyperlink ref="B16" r:id="rId1" location="non-text-content" xr:uid="{B9382879-F5C6-4D21-A5F5-69A7836A2372}"/>
    <hyperlink ref="B24" r:id="rId2" location="info-and-relationships" xr:uid="{1F82024A-A30E-4CDD-B7A5-38419D517DE6}"/>
    <hyperlink ref="B18" r:id="rId3" location="audio-only-and-video-only-prerecorded" xr:uid="{519D041A-48CE-488A-B642-54A5097B4ECB}"/>
    <hyperlink ref="B19" r:id="rId4" location="captions-prerecorded" xr:uid="{CE0F9677-B3F5-445F-AA9E-FEC191FB29E0}"/>
    <hyperlink ref="B20" r:id="rId5" location="audio-description-or-media-alternative-prerecorded" xr:uid="{53E8CD02-DD55-4872-B041-7DD68F925A46}"/>
    <hyperlink ref="B21" r:id="rId6" location="captions-live" xr:uid="{A95FB5A3-6C60-4115-B61B-2443FCAB2C4E}"/>
    <hyperlink ref="B22" r:id="rId7" location="audio-description-prerecorded" xr:uid="{CD5622ED-44E0-45C3-82FC-41992F8A5A17}"/>
    <hyperlink ref="B25" r:id="rId8" location="meaningful-sequence" xr:uid="{509D5587-C336-4F0A-906B-E9C0D39E29BE}"/>
    <hyperlink ref="B26" r:id="rId9" location="sensory-characteristics" xr:uid="{97B29153-8B6D-4B4F-9AF6-BBCB512E0829}"/>
    <hyperlink ref="B27" r:id="rId10" location="orientation" xr:uid="{1341A97E-8B9B-4269-B1D9-67A0A0733609}"/>
    <hyperlink ref="B28" r:id="rId11" location="identify-input-purpose" xr:uid="{DAD7DFA7-7334-4715-A897-53544D779C21}"/>
    <hyperlink ref="B30" r:id="rId12" location="use-of-color" xr:uid="{72699D5D-9224-4CCD-8AA7-3FD3982FB9B0}"/>
    <hyperlink ref="B31" r:id="rId13" location="audio-control" xr:uid="{A838FF70-D837-4051-9DA1-7CB344892383}"/>
    <hyperlink ref="B32" r:id="rId14" location="contrast-minimum" xr:uid="{17F041ED-0086-43D7-8DF5-A36146165D9C}"/>
    <hyperlink ref="B33" r:id="rId15" location="resize-text" xr:uid="{7BF81598-AC2F-4D41-A609-27AA6A6D19E1}"/>
    <hyperlink ref="B34" r:id="rId16" location="images-of-text" xr:uid="{0230E3AD-2424-4548-B24C-5765C5D16CF3}"/>
    <hyperlink ref="B35" r:id="rId17" location="reflow" xr:uid="{7C11850F-8584-4327-B6E4-7C7E81CCC14E}"/>
    <hyperlink ref="B36" r:id="rId18" location="non-text-contrast" xr:uid="{AD7CD90E-1EBA-427C-97CC-04767A23C262}"/>
    <hyperlink ref="B37" r:id="rId19" location="text-spacing" xr:uid="{E47FB478-C0C5-4118-91A3-9977BEE81CDC}"/>
    <hyperlink ref="B38" r:id="rId20" location="content-on-hover-or-focus" xr:uid="{ADA58162-9521-408A-BF97-8E77450C5F22}"/>
    <hyperlink ref="B40" r:id="rId21" location="keyboard" xr:uid="{10DD0484-AECF-4641-84FF-B4084723CF32}"/>
    <hyperlink ref="B41" r:id="rId22" location="no-keyboard-trap" xr:uid="{4FB3C9B7-76FF-49A4-96F6-00D16334BCE6}"/>
    <hyperlink ref="B43" r:id="rId23" location="character-key-shortcuts" xr:uid="{AAD418AC-F97B-4C00-BD1B-655B8A86941E}"/>
    <hyperlink ref="B44" r:id="rId24" location="timing-adjustable" xr:uid="{E5850A53-518C-487A-908A-AB69830D54C5}"/>
    <hyperlink ref="B45" r:id="rId25" location="pause-stop-hide" xr:uid="{68DB7F20-BABE-4203-BFA6-2A8A502811F7}"/>
    <hyperlink ref="B47" r:id="rId26" location="three-flashes-or-below-threshold" xr:uid="{E039D7FE-6FB3-4759-982A-2FFD0F5BC14C}"/>
    <hyperlink ref="B49" r:id="rId27" location="bypass-blocks" xr:uid="{C0D6E8B4-17B1-48FA-B67E-AC4435EC26ED}"/>
    <hyperlink ref="B50" r:id="rId28" location="page-titled" xr:uid="{77D24CC9-D7BB-4AF3-AA74-119B4C09F3F1}"/>
    <hyperlink ref="B51" r:id="rId29" location="focus-order" xr:uid="{B7F6C577-6019-45D0-B6C1-8AD8B4DCB063}"/>
    <hyperlink ref="B52" r:id="rId30" location="link-purpose-in-context" xr:uid="{DCF794A5-6CBF-4565-8AF5-AB4820E7738A}"/>
    <hyperlink ref="B53" r:id="rId31" location="multiple-ways" xr:uid="{9D87616B-0476-4FCA-8012-C3A7253E9EE8}"/>
    <hyperlink ref="B54" r:id="rId32" location="headings-and-labels" xr:uid="{ABB5B19D-88F5-4493-83B3-96182DF1C9E4}"/>
    <hyperlink ref="B55" r:id="rId33" location="focus-visible" xr:uid="{2AAAC596-125C-4E82-8052-C8786518C92C}"/>
    <hyperlink ref="B56" r:id="rId34" location="focus-not-obscured-minimum" xr:uid="{0DC0683D-9AED-4ED1-B4E8-BCCC939FB9E2}"/>
    <hyperlink ref="B58" r:id="rId35" location="pointer-gestures" xr:uid="{45D63DE7-86A1-4E0E-96DE-1B48C5E6BA09}"/>
    <hyperlink ref="B59" r:id="rId36" location="pointer-cancellation" xr:uid="{8C51FAC5-AD53-4BF4-8CDF-3BB3157B94A3}"/>
    <hyperlink ref="B60" r:id="rId37" location="label-in-name" xr:uid="{F36AD467-A9A6-4607-B14F-76294BF6BFFD}"/>
    <hyperlink ref="B61" r:id="rId38" location="motion-actuation" xr:uid="{4EA0CDF5-7D00-426A-8CF5-1CAEB739897B}"/>
    <hyperlink ref="B62" r:id="rId39" location="dragging-movements" xr:uid="{06ABD3A1-1FD6-417F-BBEF-C1D9A0EC9627}"/>
    <hyperlink ref="B63" r:id="rId40" location="target-size-minimum" xr:uid="{3FDD006D-0E3F-4D33-907E-5405F123D0EE}"/>
    <hyperlink ref="B65" r:id="rId41" location="language-of-page" xr:uid="{1176CCD9-3F5F-49EF-AEF7-B08F1E85D2CD}"/>
    <hyperlink ref="B66" r:id="rId42" location="language-of-parts" xr:uid="{61860FF2-E32F-4403-B40D-69C9724E487A}"/>
    <hyperlink ref="B68" r:id="rId43" location="on-focus" xr:uid="{93113FCD-4D45-4C06-B8E9-B9C3C74B1206}"/>
    <hyperlink ref="B69" r:id="rId44" location="on-input" xr:uid="{577BA98D-D75E-4E81-9A00-D8523B363A45}"/>
    <hyperlink ref="B70" r:id="rId45" location="consistent-navigation" xr:uid="{8FBC9A7E-05B1-443C-A8D2-EFA6EDE97973}"/>
    <hyperlink ref="B71" r:id="rId46" location="consistent-identification" xr:uid="{639DB257-CD8B-4AAE-9BA6-86ABA4399FB9}"/>
    <hyperlink ref="B72" r:id="rId47" location="consistent-help" xr:uid="{176CF751-9F92-402E-9BF6-0FEAC70B59FD}"/>
    <hyperlink ref="B74" r:id="rId48" location="error-identification" xr:uid="{11DB66FC-3B20-45EC-9290-E2606660FBD5}"/>
    <hyperlink ref="B75" r:id="rId49" location="labels-or-instructions" xr:uid="{ABC746AF-CDFB-4E2F-8492-A9DF7B62A45C}"/>
    <hyperlink ref="B76" r:id="rId50" location="error-suggestion" xr:uid="{98A17DDF-B33F-4294-ACE0-7D52B79CE27F}"/>
    <hyperlink ref="B77" r:id="rId51" location="error-prevention-legal-financial-data" xr:uid="{479F9408-2920-46A9-A621-41A1DF32BD9E}"/>
    <hyperlink ref="B78" r:id="rId52" location="redundant-entry" xr:uid="{188BF16F-7A52-4147-84B9-F4D8817FF221}"/>
    <hyperlink ref="B79" r:id="rId53" location="accessible-authentication-minimum" xr:uid="{A3C5CE2F-7441-48A9-8F37-008BB8916C2D}"/>
    <hyperlink ref="B81" r:id="rId54" location="parsing" xr:uid="{5E3778E8-2F82-48CC-822A-67534B976E82}"/>
    <hyperlink ref="B82" r:id="rId55" location="name-role-value" xr:uid="{E6630240-4115-44B9-9023-6662E7B7F055}"/>
    <hyperlink ref="B83" r:id="rId56" location="status-messages" xr:uid="{6ADD3FE7-FE23-445E-ABEB-37C8EF8AD0CA}"/>
    <hyperlink ref="E11" r:id="rId57" xr:uid="{D25DDE55-EF7D-4A56-85E6-2183424BDAE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3D6D-8158-438F-9AA8-EDA92DC04125}">
  <sheetPr>
    <tabColor rgb="FF7030A0"/>
  </sheetPr>
  <dimension ref="A1:O87"/>
  <sheetViews>
    <sheetView workbookViewId="0">
      <selection activeCell="H16" sqref="H16"/>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199</v>
      </c>
    </row>
    <row r="3" spans="1:10" s="4" customFormat="1" ht="21.95" customHeight="1" x14ac:dyDescent="0.25">
      <c r="A3" s="53" t="s">
        <v>2</v>
      </c>
      <c r="B3" s="54"/>
      <c r="C3" s="5" t="s">
        <v>239</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78.75" x14ac:dyDescent="0.25">
      <c r="A16" s="20">
        <v>1</v>
      </c>
      <c r="B16" s="47" t="s">
        <v>21</v>
      </c>
      <c r="C16" s="21" t="s">
        <v>22</v>
      </c>
      <c r="D16" s="20" t="s">
        <v>23</v>
      </c>
      <c r="E16" s="44" t="s">
        <v>155</v>
      </c>
      <c r="F16" s="20" t="s">
        <v>200</v>
      </c>
      <c r="G16" s="20" t="s">
        <v>197</v>
      </c>
      <c r="H16" s="25" t="s">
        <v>196</v>
      </c>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41</v>
      </c>
      <c r="F24" s="20"/>
      <c r="G24" s="20"/>
      <c r="H24" s="25"/>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201</v>
      </c>
      <c r="G28" s="20" t="s">
        <v>202</v>
      </c>
      <c r="H28" s="25" t="s">
        <v>203</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180</v>
      </c>
      <c r="G74" s="20" t="s">
        <v>161</v>
      </c>
      <c r="H74" s="25" t="s">
        <v>181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350" priority="7">
      <formula>E1="Not Applicable"</formula>
    </cfRule>
    <cfRule type="expression" dxfId="349" priority="8">
      <formula>E1="Fail"</formula>
    </cfRule>
    <cfRule type="expression" dxfId="348" priority="9">
      <formula>E1="Pass"</formula>
    </cfRule>
  </conditionalFormatting>
  <conditionalFormatting sqref="E13:E1048576">
    <cfRule type="expression" dxfId="347" priority="3">
      <formula>E13="Not Applicable"</formula>
    </cfRule>
    <cfRule type="expression" dxfId="346" priority="4">
      <formula>E13="Fail"</formula>
    </cfRule>
    <cfRule type="expression" dxfId="345" priority="5">
      <formula>E13="Pass"</formula>
    </cfRule>
  </conditionalFormatting>
  <conditionalFormatting sqref="F1:G2 G3 F4:G10 F41:I50 F52:H68 I52:I87 F70:H1048576">
    <cfRule type="expression" dxfId="344" priority="6">
      <formula>AND($E1="Fail", COUNTA($F1:$H1)&gt;0)</formula>
    </cfRule>
  </conditionalFormatting>
  <conditionalFormatting sqref="F13:H34">
    <cfRule type="expression" dxfId="343" priority="1">
      <formula>AND($E13="Fail", COUNTA($F13:$H13)&gt;0)</formula>
    </cfRule>
  </conditionalFormatting>
  <conditionalFormatting sqref="F35:I39">
    <cfRule type="expression" dxfId="342" priority="2">
      <formula>AND($E35="Fail", COUNTA($F35:$H35)&gt;0)</formula>
    </cfRule>
  </conditionalFormatting>
  <conditionalFormatting sqref="F40:I40">
    <cfRule type="expression" dxfId="341" priority="12">
      <formula>AND($E40="Fail", COUNTA(#REF!)&gt;0)</formula>
    </cfRule>
  </conditionalFormatting>
  <conditionalFormatting sqref="H1:H11 I14:I34 F69 H69">
    <cfRule type="expression" dxfId="340" priority="10">
      <formula>AND($E1="Fail", COUNTA($F1:$H1)&gt;0)</formula>
    </cfRule>
  </conditionalFormatting>
  <conditionalFormatting sqref="I51">
    <cfRule type="expression" dxfId="339" priority="11">
      <formula>AND($E51="Fail", COUNTA($F40:$H40)&gt;0)</formula>
    </cfRule>
  </conditionalFormatting>
  <hyperlinks>
    <hyperlink ref="B16" r:id="rId1" location="non-text-content" xr:uid="{3AC6E6D3-DF3B-4E75-A1C2-7B9924F71A24}"/>
    <hyperlink ref="B24" r:id="rId2" location="info-and-relationships" xr:uid="{FEA418D0-6AF6-435C-B35C-E44BADC76542}"/>
    <hyperlink ref="B18" r:id="rId3" location="audio-only-and-video-only-prerecorded" xr:uid="{25936B80-9AAD-4703-89DB-5621CE2B08C3}"/>
    <hyperlink ref="B19" r:id="rId4" location="captions-prerecorded" xr:uid="{2DBC05AB-F458-4CD6-9FE4-782243F61CDC}"/>
    <hyperlink ref="B20" r:id="rId5" location="audio-description-or-media-alternative-prerecorded" xr:uid="{1EC83F55-613B-4E97-A259-22F09B6A133B}"/>
    <hyperlink ref="B21" r:id="rId6" location="captions-live" xr:uid="{D6AD3FDF-F364-4463-A140-B8D63253F88C}"/>
    <hyperlink ref="B22" r:id="rId7" location="audio-description-prerecorded" xr:uid="{5498B6D1-EE47-4905-B6D6-13AE20CE1F54}"/>
    <hyperlink ref="B25" r:id="rId8" location="meaningful-sequence" xr:uid="{937E8551-1E5B-4095-8EFD-D61BA964862D}"/>
    <hyperlink ref="B26" r:id="rId9" location="sensory-characteristics" xr:uid="{F0C4F716-244E-4D0E-8C1E-51381B26BC01}"/>
    <hyperlink ref="B27" r:id="rId10" location="orientation" xr:uid="{EE6AAC5F-C331-4FBC-8D6E-91A6C41290B7}"/>
    <hyperlink ref="B28" r:id="rId11" location="identify-input-purpose" xr:uid="{BEE9537D-A83D-4BE0-8B3E-FD20C41EE4BB}"/>
    <hyperlink ref="B30" r:id="rId12" location="use-of-color" xr:uid="{2F8EFF2F-AF7A-49E1-AD8C-A21143F1250C}"/>
    <hyperlink ref="B31" r:id="rId13" location="audio-control" xr:uid="{48F59323-CAE1-4C62-9263-FD293057506E}"/>
    <hyperlink ref="B32" r:id="rId14" location="contrast-minimum" xr:uid="{E22E91A4-A883-4D6F-BC1B-ABC380616418}"/>
    <hyperlink ref="B33" r:id="rId15" location="resize-text" xr:uid="{FB8F29CB-9DA6-402E-A050-9C9393346FA4}"/>
    <hyperlink ref="B34" r:id="rId16" location="images-of-text" xr:uid="{4B0FD2EC-1EBF-4A13-89C0-6AE9FF32549B}"/>
    <hyperlink ref="B35" r:id="rId17" location="reflow" xr:uid="{6BF2B4F3-786D-475C-918A-99E57AECD5A2}"/>
    <hyperlink ref="B36" r:id="rId18" location="non-text-contrast" xr:uid="{3E0A2ED7-D7CF-4CAF-B08B-52037DC774E4}"/>
    <hyperlink ref="B37" r:id="rId19" location="text-spacing" xr:uid="{03E7578D-1FEE-4764-A274-E3ECD921EFF0}"/>
    <hyperlink ref="B38" r:id="rId20" location="content-on-hover-or-focus" xr:uid="{9B8E34A1-7CE0-45E0-8898-EA56EF967622}"/>
    <hyperlink ref="B40" r:id="rId21" location="keyboard" xr:uid="{DED96F29-1DE4-4D63-B175-CEBE7DD269AC}"/>
    <hyperlink ref="B41" r:id="rId22" location="no-keyboard-trap" xr:uid="{7AE54D0E-24D2-4881-89DD-B6C8822A84F3}"/>
    <hyperlink ref="B43" r:id="rId23" location="character-key-shortcuts" xr:uid="{28AD9308-7307-492D-B289-40F5376FF57D}"/>
    <hyperlink ref="B44" r:id="rId24" location="timing-adjustable" xr:uid="{C6B54934-CD2A-4FF7-9D0F-E61405059C08}"/>
    <hyperlink ref="B45" r:id="rId25" location="pause-stop-hide" xr:uid="{582873D8-05DF-4B34-93B2-79967D4E0FF4}"/>
    <hyperlink ref="B47" r:id="rId26" location="three-flashes-or-below-threshold" xr:uid="{794F12CF-5D68-461C-B761-3F340FF69559}"/>
    <hyperlink ref="B49" r:id="rId27" location="bypass-blocks" xr:uid="{27E41515-5B72-4F44-94D6-40771F5ACBF5}"/>
    <hyperlink ref="B50" r:id="rId28" location="page-titled" xr:uid="{F43A8D3D-2FEA-4F49-9CB7-F4A501012778}"/>
    <hyperlink ref="B51" r:id="rId29" location="focus-order" xr:uid="{74DEF43B-A865-4273-85DB-61E506434D39}"/>
    <hyperlink ref="B52" r:id="rId30" location="link-purpose-in-context" xr:uid="{FE5DC3E0-0776-480B-ABCD-83490629AAD1}"/>
    <hyperlink ref="B53" r:id="rId31" location="multiple-ways" xr:uid="{7D71B205-8E83-444B-972A-6852B5E66D75}"/>
    <hyperlink ref="B54" r:id="rId32" location="headings-and-labels" xr:uid="{E07DFA61-9CE0-4739-9F6D-343095626F28}"/>
    <hyperlink ref="B55" r:id="rId33" location="focus-visible" xr:uid="{057F0274-E08B-47E4-AEAC-1046D7D1C948}"/>
    <hyperlink ref="B56" r:id="rId34" location="focus-not-obscured-minimum" xr:uid="{8BD77EA0-8B71-4C7F-9631-D8334FEFCC67}"/>
    <hyperlink ref="B58" r:id="rId35" location="pointer-gestures" xr:uid="{C5F1779A-6895-4CFE-A69B-6DB35133CAD1}"/>
    <hyperlink ref="B59" r:id="rId36" location="pointer-cancellation" xr:uid="{AE0FD0FD-A96B-491F-8773-72D7F7B7A848}"/>
    <hyperlink ref="B60" r:id="rId37" location="label-in-name" xr:uid="{28AFB8D1-0BCC-476D-AD6B-145F14A3F9F6}"/>
    <hyperlink ref="B61" r:id="rId38" location="motion-actuation" xr:uid="{04D3B0D5-9592-4992-B6AE-7A7BED4FB9B8}"/>
    <hyperlink ref="B62" r:id="rId39" location="dragging-movements" xr:uid="{41FB382F-40E1-4606-8801-BBBAC170644A}"/>
    <hyperlink ref="B63" r:id="rId40" location="target-size-minimum" xr:uid="{C02071CD-52E6-427D-8A4E-7864FA610985}"/>
    <hyperlink ref="B65" r:id="rId41" location="language-of-page" xr:uid="{28EF0B8D-4E5B-4D72-8835-FA75E75B98F3}"/>
    <hyperlink ref="B66" r:id="rId42" location="language-of-parts" xr:uid="{BA7AB3C8-8026-4459-B795-833054C2343D}"/>
    <hyperlink ref="B68" r:id="rId43" location="on-focus" xr:uid="{6789891D-E380-42A5-AC88-5D72BF4A13AE}"/>
    <hyperlink ref="B69" r:id="rId44" location="on-input" xr:uid="{BB4921FE-8F0A-4235-B7FE-87047BE29AE4}"/>
    <hyperlink ref="B70" r:id="rId45" location="consistent-navigation" xr:uid="{0433F7C1-C03B-4905-939B-3073A2E4A163}"/>
    <hyperlink ref="B71" r:id="rId46" location="consistent-identification" xr:uid="{2FCC94EC-309E-45BC-9A89-14DA0453AC89}"/>
    <hyperlink ref="B72" r:id="rId47" location="consistent-help" xr:uid="{0D585BB3-C35F-4564-BD96-47CCA10F9396}"/>
    <hyperlink ref="B74" r:id="rId48" location="error-identification" xr:uid="{A962CC99-E9F7-4398-ABA1-37A764BB4296}"/>
    <hyperlink ref="B75" r:id="rId49" location="labels-or-instructions" xr:uid="{F4E0BE5F-6F02-4257-9456-50B648BA381F}"/>
    <hyperlink ref="B76" r:id="rId50" location="error-suggestion" xr:uid="{24D26695-8C2A-4467-9272-D021FD77D6B4}"/>
    <hyperlink ref="B77" r:id="rId51" location="error-prevention-legal-financial-data" xr:uid="{077D9F6F-4E6F-41C7-BEE0-1C0CD8C121C2}"/>
    <hyperlink ref="B78" r:id="rId52" location="redundant-entry" xr:uid="{4EDDC8F2-BFC6-4038-8416-4ED1AF64035B}"/>
    <hyperlink ref="B79" r:id="rId53" location="accessible-authentication-minimum" xr:uid="{053984A7-372D-43D0-8FE6-82775656059F}"/>
    <hyperlink ref="B81" r:id="rId54" location="parsing" xr:uid="{76CA2F87-E134-401D-A8DC-26A12A59E250}"/>
    <hyperlink ref="B82" r:id="rId55" location="name-role-value" xr:uid="{0651F9ED-CF40-4A2C-BF43-5CB9081A22E3}"/>
    <hyperlink ref="B83" r:id="rId56" location="status-messages" xr:uid="{C405605E-0B7F-4312-991E-8EC04FD39E8D}"/>
    <hyperlink ref="E11" r:id="rId57" xr:uid="{C804666C-5082-4E88-A1C7-6759EA6CEB6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33C8-2AFB-4B64-B328-99E8637C9A5B}">
  <sheetPr>
    <tabColor rgb="FF7030A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212</v>
      </c>
    </row>
    <row r="3" spans="1:10" s="4" customFormat="1" ht="21.95" customHeight="1" x14ac:dyDescent="0.25">
      <c r="A3" s="53" t="s">
        <v>2</v>
      </c>
      <c r="B3" s="54"/>
      <c r="C3" s="5" t="s">
        <v>239</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204</v>
      </c>
      <c r="G24" s="20" t="s">
        <v>205</v>
      </c>
      <c r="H24" s="25" t="s">
        <v>206</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207</v>
      </c>
      <c r="G28" s="20" t="s">
        <v>208</v>
      </c>
      <c r="H28" s="25" t="s">
        <v>209</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210</v>
      </c>
      <c r="G74" s="20" t="s">
        <v>161</v>
      </c>
      <c r="H74" s="25" t="s">
        <v>211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338" priority="9">
      <formula>E1="Not Applicable"</formula>
    </cfRule>
    <cfRule type="expression" dxfId="337" priority="10">
      <formula>E1="Fail"</formula>
    </cfRule>
    <cfRule type="expression" dxfId="336" priority="11">
      <formula>E1="Pass"</formula>
    </cfRule>
  </conditionalFormatting>
  <conditionalFormatting sqref="E13:E1048576">
    <cfRule type="expression" dxfId="335" priority="5">
      <formula>E13="Not Applicable"</formula>
    </cfRule>
    <cfRule type="expression" dxfId="334" priority="6">
      <formula>E13="Fail"</formula>
    </cfRule>
    <cfRule type="expression" dxfId="333" priority="7">
      <formula>E13="Pass"</formula>
    </cfRule>
  </conditionalFormatting>
  <conditionalFormatting sqref="F1:G2 G3 F4:G10 F41:I50 F52:H68 I52:I87 F70:H73 F75:H1048576">
    <cfRule type="expression" dxfId="332" priority="8">
      <formula>AND($E1="Fail", COUNTA($F1:$H1)&gt;0)</formula>
    </cfRule>
  </conditionalFormatting>
  <conditionalFormatting sqref="F13:H23 F29:H34">
    <cfRule type="expression" dxfId="331" priority="3">
      <formula>AND($E13="Fail", COUNTA($F13:$H13)&gt;0)</formula>
    </cfRule>
  </conditionalFormatting>
  <conditionalFormatting sqref="F35:I39">
    <cfRule type="expression" dxfId="330" priority="4">
      <formula>AND($E35="Fail", COUNTA($F35:$H35)&gt;0)</formula>
    </cfRule>
  </conditionalFormatting>
  <conditionalFormatting sqref="F40:I40">
    <cfRule type="expression" dxfId="329" priority="14">
      <formula>AND($E40="Fail", COUNTA(#REF!)&gt;0)</formula>
    </cfRule>
  </conditionalFormatting>
  <conditionalFormatting sqref="H1:H11 I14:I34 F69 H69">
    <cfRule type="expression" dxfId="328" priority="12">
      <formula>AND($E1="Fail", COUNTA($F1:$H1)&gt;0)</formula>
    </cfRule>
  </conditionalFormatting>
  <conditionalFormatting sqref="I51">
    <cfRule type="expression" dxfId="327" priority="13">
      <formula>AND($E51="Fail", COUNTA($F40:$H40)&gt;0)</formula>
    </cfRule>
  </conditionalFormatting>
  <conditionalFormatting sqref="F24:H28">
    <cfRule type="expression" dxfId="326" priority="2">
      <formula>AND($E24="Fail", COUNTA($F24:$H24)&gt;0)</formula>
    </cfRule>
  </conditionalFormatting>
  <conditionalFormatting sqref="F74:H74">
    <cfRule type="expression" dxfId="325" priority="1">
      <formula>AND($E74="Fail", COUNTA($F74:$H74)&gt;0)</formula>
    </cfRule>
  </conditionalFormatting>
  <hyperlinks>
    <hyperlink ref="B16" r:id="rId1" location="non-text-content" xr:uid="{63971DD6-063B-4610-AAF1-4D8BF3251324}"/>
    <hyperlink ref="B24" r:id="rId2" location="info-and-relationships" xr:uid="{65149C75-EAAC-41AD-998D-8E285BE8C7C2}"/>
    <hyperlink ref="B18" r:id="rId3" location="audio-only-and-video-only-prerecorded" xr:uid="{95736A89-97D2-4A33-A49B-324A95558A16}"/>
    <hyperlink ref="B19" r:id="rId4" location="captions-prerecorded" xr:uid="{C1149B25-8C12-4602-8513-3245ECBF3543}"/>
    <hyperlink ref="B20" r:id="rId5" location="audio-description-or-media-alternative-prerecorded" xr:uid="{C3E63F69-F7E8-4AE3-87A6-D6C1D1B0300C}"/>
    <hyperlink ref="B21" r:id="rId6" location="captions-live" xr:uid="{B9A8D2E8-67A6-4E87-8FAC-8CE99BAF238B}"/>
    <hyperlink ref="B22" r:id="rId7" location="audio-description-prerecorded" xr:uid="{8B33152B-01BC-4B4F-B4E7-060B38564C0F}"/>
    <hyperlink ref="B25" r:id="rId8" location="meaningful-sequence" xr:uid="{99C85B1A-03BB-49F3-9527-421ECF45241E}"/>
    <hyperlink ref="B26" r:id="rId9" location="sensory-characteristics" xr:uid="{626DFC22-5869-445D-B957-2586693EBE9A}"/>
    <hyperlink ref="B27" r:id="rId10" location="orientation" xr:uid="{389B1B89-6629-48AB-AAEC-5104DFB1E446}"/>
    <hyperlink ref="B28" r:id="rId11" location="identify-input-purpose" xr:uid="{8BB620E4-B994-4102-BEC8-B5856554604E}"/>
    <hyperlink ref="B30" r:id="rId12" location="use-of-color" xr:uid="{83B056FC-2AAA-4207-8B0D-AA120B731EA6}"/>
    <hyperlink ref="B31" r:id="rId13" location="audio-control" xr:uid="{2750CA8D-F498-4F03-A291-16257392FC8C}"/>
    <hyperlink ref="B32" r:id="rId14" location="contrast-minimum" xr:uid="{ABC318A4-66EB-4AC5-BE74-1C48FF31DA51}"/>
    <hyperlink ref="B33" r:id="rId15" location="resize-text" xr:uid="{D83E8C87-3407-4522-98DE-10082A93DC19}"/>
    <hyperlink ref="B34" r:id="rId16" location="images-of-text" xr:uid="{6BD92C95-12E5-493A-84F7-539522316C2A}"/>
    <hyperlink ref="B35" r:id="rId17" location="reflow" xr:uid="{56FAB79B-4F19-4B56-9348-E8CBAECBFEC8}"/>
    <hyperlink ref="B36" r:id="rId18" location="non-text-contrast" xr:uid="{E78876B7-904E-4B24-8AFF-8C30716A9D07}"/>
    <hyperlink ref="B37" r:id="rId19" location="text-spacing" xr:uid="{12BC9C0C-88DF-41D5-A0A3-9E30CDBE3F2E}"/>
    <hyperlink ref="B38" r:id="rId20" location="content-on-hover-or-focus" xr:uid="{9F3B2A86-954F-466E-A0E7-8A88D97A0B60}"/>
    <hyperlink ref="B40" r:id="rId21" location="keyboard" xr:uid="{5417FB28-D755-4858-99BB-0166A395E9A7}"/>
    <hyperlink ref="B41" r:id="rId22" location="no-keyboard-trap" xr:uid="{B76DC53F-3E5C-4CBB-BE52-1A6877D5613D}"/>
    <hyperlink ref="B43" r:id="rId23" location="character-key-shortcuts" xr:uid="{956C2562-EA6E-4538-846A-6B8EA7F81435}"/>
    <hyperlink ref="B44" r:id="rId24" location="timing-adjustable" xr:uid="{6FF993F1-150A-4177-9448-F0660802B0C9}"/>
    <hyperlink ref="B45" r:id="rId25" location="pause-stop-hide" xr:uid="{7BDB3144-9539-4063-A77F-F7CE43C86310}"/>
    <hyperlink ref="B47" r:id="rId26" location="three-flashes-or-below-threshold" xr:uid="{9597BFC7-0E30-4E7A-8EC8-7568F6C6EE73}"/>
    <hyperlink ref="B49" r:id="rId27" location="bypass-blocks" xr:uid="{7F9E2301-6F4F-4E35-BBD4-236A15A5511E}"/>
    <hyperlink ref="B50" r:id="rId28" location="page-titled" xr:uid="{FF183E8A-31F5-4D09-8C3D-CA35703CE4BC}"/>
    <hyperlink ref="B51" r:id="rId29" location="focus-order" xr:uid="{7B9EA3C9-AF41-4F21-9281-866E5E418C32}"/>
    <hyperlink ref="B52" r:id="rId30" location="link-purpose-in-context" xr:uid="{E749A27A-9057-491F-B62C-304BF886A8A4}"/>
    <hyperlink ref="B53" r:id="rId31" location="multiple-ways" xr:uid="{6DFDEB43-A79C-4B23-A397-120DACE651C0}"/>
    <hyperlink ref="B54" r:id="rId32" location="headings-and-labels" xr:uid="{E9F000FD-A244-4818-916D-55D50FD43BBB}"/>
    <hyperlink ref="B55" r:id="rId33" location="focus-visible" xr:uid="{2B113178-1911-45B5-95C7-58BAB6525708}"/>
    <hyperlink ref="B56" r:id="rId34" location="focus-not-obscured-minimum" xr:uid="{0C56D17F-5D97-4388-A5F7-5160DAE7AE65}"/>
    <hyperlink ref="B58" r:id="rId35" location="pointer-gestures" xr:uid="{81DAB9E0-7112-4F8D-832C-47373D14A745}"/>
    <hyperlink ref="B59" r:id="rId36" location="pointer-cancellation" xr:uid="{F364C2DD-2FDF-450A-819B-B66F3CA5D1AD}"/>
    <hyperlink ref="B60" r:id="rId37" location="label-in-name" xr:uid="{09F5DDB6-EF08-46CD-B15A-57C57B745710}"/>
    <hyperlink ref="B61" r:id="rId38" location="motion-actuation" xr:uid="{25F81DB3-6A1A-4DBD-858C-B9AC06159D20}"/>
    <hyperlink ref="B62" r:id="rId39" location="dragging-movements" xr:uid="{4014FF25-5E92-4072-8270-9FD173D1AAD1}"/>
    <hyperlink ref="B63" r:id="rId40" location="target-size-minimum" xr:uid="{7993B81E-2F5C-456A-A5ED-D8B45229B4C7}"/>
    <hyperlink ref="B65" r:id="rId41" location="language-of-page" xr:uid="{1F906714-5078-457A-88E4-B4C0B4DFCC40}"/>
    <hyperlink ref="B66" r:id="rId42" location="language-of-parts" xr:uid="{416EA193-064D-41A3-ADC4-249B2A00B683}"/>
    <hyperlink ref="B68" r:id="rId43" location="on-focus" xr:uid="{6C6BBC2E-614F-4D27-9175-22AB27CCDDF2}"/>
    <hyperlink ref="B69" r:id="rId44" location="on-input" xr:uid="{BA994AEC-079C-4614-8C79-D1E7BF036DB3}"/>
    <hyperlink ref="B70" r:id="rId45" location="consistent-navigation" xr:uid="{D598B437-1409-4FFF-8933-095DE807533C}"/>
    <hyperlink ref="B71" r:id="rId46" location="consistent-identification" xr:uid="{68A85894-1141-4EA7-89B5-FFC8140C066D}"/>
    <hyperlink ref="B72" r:id="rId47" location="consistent-help" xr:uid="{15380234-7726-4189-8B24-7BF258D59D0C}"/>
    <hyperlink ref="B74" r:id="rId48" location="error-identification" xr:uid="{34E2C0AE-D42F-4C4C-88BD-80C6E2FE515E}"/>
    <hyperlink ref="B75" r:id="rId49" location="labels-or-instructions" xr:uid="{3E72D08F-AE9F-43C2-95C2-D8C942E31FAE}"/>
    <hyperlink ref="B76" r:id="rId50" location="error-suggestion" xr:uid="{5E9647F7-6FF6-47F2-9A2A-30ADC6B2993A}"/>
    <hyperlink ref="B77" r:id="rId51" location="error-prevention-legal-financial-data" xr:uid="{159D06DC-DBD6-41AB-984C-A120420D3878}"/>
    <hyperlink ref="B78" r:id="rId52" location="redundant-entry" xr:uid="{5AAEFC83-AB43-43FD-9C49-26B5AF1CE3DA}"/>
    <hyperlink ref="B79" r:id="rId53" location="accessible-authentication-minimum" xr:uid="{C42D8E83-4054-4E4F-9FF1-58B57D14D7A4}"/>
    <hyperlink ref="B81" r:id="rId54" location="parsing" xr:uid="{47FA855D-F5CB-45FD-940E-DD4169DE9D12}"/>
    <hyperlink ref="B82" r:id="rId55" location="name-role-value" xr:uid="{B77A48A7-99EF-4EAA-AF67-82278C7B9D12}"/>
    <hyperlink ref="B83" r:id="rId56" location="status-messages" xr:uid="{0A015AFD-44F7-4B90-A8CA-C1C81CE5E197}"/>
    <hyperlink ref="E11" r:id="rId57" xr:uid="{E73BAFE7-0757-4160-BDC7-44B3DF2A7D1A}"/>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91661-EE8F-4641-9FAC-504581DD52C0}">
  <sheetPr>
    <tabColor rgb="FF7030A0"/>
  </sheetPr>
  <dimension ref="A1:O87"/>
  <sheetViews>
    <sheetView topLeftCell="B1"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228</v>
      </c>
    </row>
    <row r="3" spans="1:10" s="4" customFormat="1" ht="21.95" customHeight="1" x14ac:dyDescent="0.25">
      <c r="A3" s="53" t="s">
        <v>2</v>
      </c>
      <c r="B3" s="54"/>
      <c r="C3" s="5" t="s">
        <v>239</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28</v>
      </c>
      <c r="F10" s="8" t="str">
        <f>"Fail: " &amp; COUNTIF(E16:E83, "Fail")</f>
        <v>Fail: 4</v>
      </c>
      <c r="G10" s="9" t="str">
        <f>"Not applicable: " &amp; COUNTIF(E16:E83, "Not applicable")</f>
        <v>Not applicable: 24</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155</v>
      </c>
      <c r="F16" s="20" t="s">
        <v>229</v>
      </c>
      <c r="G16" s="20" t="s">
        <v>230</v>
      </c>
      <c r="H16" s="25" t="s">
        <v>231</v>
      </c>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232</v>
      </c>
      <c r="G24" s="20" t="s">
        <v>205</v>
      </c>
      <c r="H24" s="25" t="s">
        <v>206</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233</v>
      </c>
      <c r="G28" s="20" t="s">
        <v>234</v>
      </c>
      <c r="H28" s="25" t="s">
        <v>235</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155</v>
      </c>
      <c r="F52" s="20" t="s">
        <v>236</v>
      </c>
      <c r="G52" s="20" t="s">
        <v>237</v>
      </c>
      <c r="H52" s="25" t="s">
        <v>238</v>
      </c>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154</v>
      </c>
      <c r="F74" s="20"/>
      <c r="G74" s="20"/>
      <c r="H74" s="25"/>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154</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277" priority="9">
      <formula>E1="Not Applicable"</formula>
    </cfRule>
    <cfRule type="expression" dxfId="276" priority="10">
      <formula>E1="Fail"</formula>
    </cfRule>
    <cfRule type="expression" dxfId="275" priority="11">
      <formula>E1="Pass"</formula>
    </cfRule>
  </conditionalFormatting>
  <conditionalFormatting sqref="E13:E1048576">
    <cfRule type="expression" dxfId="274" priority="5">
      <formula>E13="Not Applicable"</formula>
    </cfRule>
    <cfRule type="expression" dxfId="273" priority="6">
      <formula>E13="Fail"</formula>
    </cfRule>
    <cfRule type="expression" dxfId="272" priority="7">
      <formula>E13="Pass"</formula>
    </cfRule>
  </conditionalFormatting>
  <conditionalFormatting sqref="F1:G2 G3 F4:G10 F41:I50 F52:H68 I52:I87 F70:H73 F75:H1048576">
    <cfRule type="expression" dxfId="271" priority="8">
      <formula>AND($E1="Fail", COUNTA($F1:$H1)&gt;0)</formula>
    </cfRule>
  </conditionalFormatting>
  <conditionalFormatting sqref="F13:H23 F29:H34">
    <cfRule type="expression" dxfId="270" priority="3">
      <formula>AND($E13="Fail", COUNTA($F13:$H13)&gt;0)</formula>
    </cfRule>
  </conditionalFormatting>
  <conditionalFormatting sqref="F35:I39">
    <cfRule type="expression" dxfId="269" priority="4">
      <formula>AND($E35="Fail", COUNTA($F35:$H35)&gt;0)</formula>
    </cfRule>
  </conditionalFormatting>
  <conditionalFormatting sqref="F40:I40">
    <cfRule type="expression" dxfId="268" priority="14">
      <formula>AND($E40="Fail", COUNTA(#REF!)&gt;0)</formula>
    </cfRule>
  </conditionalFormatting>
  <conditionalFormatting sqref="H1:H11 I14:I34 F69 H69">
    <cfRule type="expression" dxfId="267" priority="12">
      <formula>AND($E1="Fail", COUNTA($F1:$H1)&gt;0)</formula>
    </cfRule>
  </conditionalFormatting>
  <conditionalFormatting sqref="I51">
    <cfRule type="expression" dxfId="266" priority="13">
      <formula>AND($E51="Fail", COUNTA($F40:$H40)&gt;0)</formula>
    </cfRule>
  </conditionalFormatting>
  <conditionalFormatting sqref="F24:H28">
    <cfRule type="expression" dxfId="265" priority="2">
      <formula>AND($E24="Fail", COUNTA($F24:$H24)&gt;0)</formula>
    </cfRule>
  </conditionalFormatting>
  <conditionalFormatting sqref="F74:H74">
    <cfRule type="expression" dxfId="264" priority="1">
      <formula>AND($E74="Fail", COUNTA($F74:$H74)&gt;0)</formula>
    </cfRule>
  </conditionalFormatting>
  <hyperlinks>
    <hyperlink ref="B16" r:id="rId1" location="non-text-content" xr:uid="{CAEF7E26-DE68-42A6-9E9C-F670A0BD3790}"/>
    <hyperlink ref="B24" r:id="rId2" location="info-and-relationships" xr:uid="{FB9D7788-4F8A-41B5-B63D-6A17B5047D53}"/>
    <hyperlink ref="B18" r:id="rId3" location="audio-only-and-video-only-prerecorded" xr:uid="{7BDD32B5-52CE-4656-8CA6-D5F079EAF7BA}"/>
    <hyperlink ref="B19" r:id="rId4" location="captions-prerecorded" xr:uid="{CFAFDB23-4C30-427F-B8C6-84B752D30E0B}"/>
    <hyperlink ref="B20" r:id="rId5" location="audio-description-or-media-alternative-prerecorded" xr:uid="{F3D047E2-C3C5-4CC5-9405-6D269B81F8FB}"/>
    <hyperlink ref="B21" r:id="rId6" location="captions-live" xr:uid="{9D7E917D-A843-4FCB-9645-0840A727E3CB}"/>
    <hyperlink ref="B22" r:id="rId7" location="audio-description-prerecorded" xr:uid="{CE6652C9-F544-415C-9B36-27738B8B5586}"/>
    <hyperlink ref="B25" r:id="rId8" location="meaningful-sequence" xr:uid="{31F69282-612B-4DD1-A5FD-D1F526EE0A2B}"/>
    <hyperlink ref="B26" r:id="rId9" location="sensory-characteristics" xr:uid="{DBC0231C-6F72-4505-89C9-150748B47BC6}"/>
    <hyperlink ref="B27" r:id="rId10" location="orientation" xr:uid="{5652CCEB-4B6D-43CF-A956-8DCF845BF8BF}"/>
    <hyperlink ref="B28" r:id="rId11" location="identify-input-purpose" xr:uid="{FE4BC3F5-A1DA-4996-B511-E9FA536B2E84}"/>
    <hyperlink ref="B30" r:id="rId12" location="use-of-color" xr:uid="{99FFF9F2-CBC9-4D76-8B88-0CD58720D8B7}"/>
    <hyperlink ref="B31" r:id="rId13" location="audio-control" xr:uid="{745A1485-5B73-4969-A1A6-CB3D9553EF95}"/>
    <hyperlink ref="B32" r:id="rId14" location="contrast-minimum" xr:uid="{FB2AB63F-F6D4-403A-BB2C-224511345EBF}"/>
    <hyperlink ref="B33" r:id="rId15" location="resize-text" xr:uid="{11169081-137C-4E71-B21B-E39F696CED98}"/>
    <hyperlink ref="B34" r:id="rId16" location="images-of-text" xr:uid="{CD098B58-DB03-4443-B8CA-1C4223A78B97}"/>
    <hyperlink ref="B35" r:id="rId17" location="reflow" xr:uid="{9698904F-E21E-4B56-A5B6-CB7E445420BD}"/>
    <hyperlink ref="B36" r:id="rId18" location="non-text-contrast" xr:uid="{35775E41-64E3-49D8-B6E0-33777DBE9BD0}"/>
    <hyperlink ref="B37" r:id="rId19" location="text-spacing" xr:uid="{802FAA01-DAF2-4354-AB98-3CDDF096018E}"/>
    <hyperlink ref="B38" r:id="rId20" location="content-on-hover-or-focus" xr:uid="{4E90C86E-AED9-4FC4-89EE-0AF7DE5F9C9E}"/>
    <hyperlink ref="B40" r:id="rId21" location="keyboard" xr:uid="{1EE9DB83-E800-43EE-962D-C5773B4B5D86}"/>
    <hyperlink ref="B41" r:id="rId22" location="no-keyboard-trap" xr:uid="{DB24BC41-D527-467E-9B1A-B8C0749F2538}"/>
    <hyperlink ref="B43" r:id="rId23" location="character-key-shortcuts" xr:uid="{4CF47444-977F-41C6-8B8D-FCF366EB5D1C}"/>
    <hyperlink ref="B44" r:id="rId24" location="timing-adjustable" xr:uid="{F8B12942-245C-46C5-B74F-E6360D186C61}"/>
    <hyperlink ref="B45" r:id="rId25" location="pause-stop-hide" xr:uid="{B7B76BE3-E3FC-41BD-AABC-23922143E835}"/>
    <hyperlink ref="B47" r:id="rId26" location="three-flashes-or-below-threshold" xr:uid="{8E29BF27-0374-4B87-BEF8-CA07417F1CF4}"/>
    <hyperlink ref="B49" r:id="rId27" location="bypass-blocks" xr:uid="{B03BC19F-D0D8-4215-A087-E204ABF4B041}"/>
    <hyperlink ref="B50" r:id="rId28" location="page-titled" xr:uid="{51F754A9-FDF0-479F-A95E-7379AA361DED}"/>
    <hyperlink ref="B51" r:id="rId29" location="focus-order" xr:uid="{9A9D2EF2-5E55-4FFA-A0D7-733EA97718CA}"/>
    <hyperlink ref="B52" r:id="rId30" location="link-purpose-in-context" xr:uid="{D5088E0E-832D-4642-91C9-1A618B28007C}"/>
    <hyperlink ref="B53" r:id="rId31" location="multiple-ways" xr:uid="{3F98FB15-F57C-4AB3-942A-B73DA408C83F}"/>
    <hyperlink ref="B54" r:id="rId32" location="headings-and-labels" xr:uid="{CAEE0E6B-414B-4B2C-9F6E-9916E4260391}"/>
    <hyperlink ref="B55" r:id="rId33" location="focus-visible" xr:uid="{B6B31C7F-B663-4C55-9B94-69CE253AC0B7}"/>
    <hyperlink ref="B56" r:id="rId34" location="focus-not-obscured-minimum" xr:uid="{4026AE5A-67A3-4F6F-B10B-F77D98BE54ED}"/>
    <hyperlink ref="B58" r:id="rId35" location="pointer-gestures" xr:uid="{46F55933-DD1C-499C-8D0A-AFD5261948F8}"/>
    <hyperlink ref="B59" r:id="rId36" location="pointer-cancellation" xr:uid="{452D2ABA-B0F5-4DC1-A568-5E27E86D0346}"/>
    <hyperlink ref="B60" r:id="rId37" location="label-in-name" xr:uid="{21E5EFE4-C9E6-4647-BF60-8F97DF0F5231}"/>
    <hyperlink ref="B61" r:id="rId38" location="motion-actuation" xr:uid="{AC95AF69-1E2C-47A3-A5D3-30140502FA12}"/>
    <hyperlink ref="B62" r:id="rId39" location="dragging-movements" xr:uid="{4E8CFC19-C03A-4D4B-BC1E-F6F0541DEF4C}"/>
    <hyperlink ref="B63" r:id="rId40" location="target-size-minimum" xr:uid="{9F8EE249-B191-47B9-8DA9-8B47797B81E6}"/>
    <hyperlink ref="B65" r:id="rId41" location="language-of-page" xr:uid="{B9C541E8-8B96-4B3A-8FF9-5F54231CFCB3}"/>
    <hyperlink ref="B66" r:id="rId42" location="language-of-parts" xr:uid="{440ACE0D-382B-4A57-973C-11C99C679A47}"/>
    <hyperlink ref="B68" r:id="rId43" location="on-focus" xr:uid="{A3FF78C5-04FB-4543-BF74-182D4C9E44AC}"/>
    <hyperlink ref="B69" r:id="rId44" location="on-input" xr:uid="{C1CB026C-985E-4E21-A63A-21CC1F64A538}"/>
    <hyperlink ref="B70" r:id="rId45" location="consistent-navigation" xr:uid="{54175841-BA4D-4820-A1BA-6E08A5CA0A97}"/>
    <hyperlink ref="B71" r:id="rId46" location="consistent-identification" xr:uid="{C71F95EE-E410-4A2D-8AAE-FD673F189980}"/>
    <hyperlink ref="B72" r:id="rId47" location="consistent-help" xr:uid="{BA9569E8-CB1D-4D65-AB36-9975EEC54CBC}"/>
    <hyperlink ref="B74" r:id="rId48" location="error-identification" xr:uid="{E32CA142-CAB1-43B6-BD83-DCCF35ACDE27}"/>
    <hyperlink ref="B75" r:id="rId49" location="labels-or-instructions" xr:uid="{FD1EFD79-9A15-41C7-9F12-34C39EA8E047}"/>
    <hyperlink ref="B76" r:id="rId50" location="error-suggestion" xr:uid="{77C1A4AD-DC3C-4B18-80AE-D4C56672A12A}"/>
    <hyperlink ref="B77" r:id="rId51" location="error-prevention-legal-financial-data" xr:uid="{EE626E2A-B122-4ECF-813B-AF51AEEE85BE}"/>
    <hyperlink ref="B78" r:id="rId52" location="redundant-entry" xr:uid="{9E703FA1-AD83-491F-B57A-EE00DFBB37C7}"/>
    <hyperlink ref="B79" r:id="rId53" location="accessible-authentication-minimum" xr:uid="{6267D15E-A3D2-42C9-86C4-3997F4345B56}"/>
    <hyperlink ref="B81" r:id="rId54" location="parsing" xr:uid="{5B1089A0-5B3B-42A7-8F17-6C0159D3327F}"/>
    <hyperlink ref="B82" r:id="rId55" location="name-role-value" xr:uid="{2174978F-C90D-4E8C-89A5-A0EC186A671E}"/>
    <hyperlink ref="B83" r:id="rId56" location="status-messages" xr:uid="{23BEC290-7F87-4972-9AE3-44B0D55EE564}"/>
    <hyperlink ref="E11" r:id="rId57" xr:uid="{6DE90B5F-E649-456C-ADD1-8743C3A5C0C3}"/>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B916-296A-4630-B306-6AA1816BDA24}">
  <sheetPr>
    <tabColor rgb="FF7030A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213</v>
      </c>
    </row>
    <row r="3" spans="1:10" s="4" customFormat="1" ht="21.95" customHeight="1" x14ac:dyDescent="0.25">
      <c r="A3" s="53" t="s">
        <v>2</v>
      </c>
      <c r="B3" s="54"/>
      <c r="C3" s="5" t="s">
        <v>239</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214</v>
      </c>
      <c r="G24" s="20" t="s">
        <v>205</v>
      </c>
      <c r="H24" s="25" t="s">
        <v>206</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215</v>
      </c>
      <c r="G28" s="20" t="s">
        <v>208</v>
      </c>
      <c r="H28" s="25" t="s">
        <v>209</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210</v>
      </c>
      <c r="G74" s="20" t="s">
        <v>161</v>
      </c>
      <c r="H74" s="25" t="s">
        <v>211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324" priority="10">
      <formula>E1="Not Applicable"</formula>
    </cfRule>
    <cfRule type="expression" dxfId="323" priority="11">
      <formula>E1="Fail"</formula>
    </cfRule>
    <cfRule type="expression" dxfId="322" priority="12">
      <formula>E1="Pass"</formula>
    </cfRule>
  </conditionalFormatting>
  <conditionalFormatting sqref="E13:E1048576">
    <cfRule type="expression" dxfId="321" priority="6">
      <formula>E13="Not Applicable"</formula>
    </cfRule>
    <cfRule type="expression" dxfId="320" priority="7">
      <formula>E13="Fail"</formula>
    </cfRule>
    <cfRule type="expression" dxfId="319" priority="8">
      <formula>E13="Pass"</formula>
    </cfRule>
  </conditionalFormatting>
  <conditionalFormatting sqref="F1:G2 G3 F4:G10 F41:I50 F52:H68 I52:I87 F70:H73 F75:H1048576">
    <cfRule type="expression" dxfId="318" priority="9">
      <formula>AND($E1="Fail", COUNTA($F1:$H1)&gt;0)</formula>
    </cfRule>
  </conditionalFormatting>
  <conditionalFormatting sqref="F13:H23 F29:H34">
    <cfRule type="expression" dxfId="317" priority="4">
      <formula>AND($E13="Fail", COUNTA($F13:$H13)&gt;0)</formula>
    </cfRule>
  </conditionalFormatting>
  <conditionalFormatting sqref="F35:I39">
    <cfRule type="expression" dxfId="316" priority="5">
      <formula>AND($E35="Fail", COUNTA($F35:$H35)&gt;0)</formula>
    </cfRule>
  </conditionalFormatting>
  <conditionalFormatting sqref="F40:I40">
    <cfRule type="expression" dxfId="315" priority="15">
      <formula>AND($E40="Fail", COUNTA(#REF!)&gt;0)</formula>
    </cfRule>
  </conditionalFormatting>
  <conditionalFormatting sqref="H1:H11 I14:I34 F69 H69">
    <cfRule type="expression" dxfId="314" priority="13">
      <formula>AND($E1="Fail", COUNTA($F1:$H1)&gt;0)</formula>
    </cfRule>
  </conditionalFormatting>
  <conditionalFormatting sqref="I51">
    <cfRule type="expression" dxfId="313" priority="14">
      <formula>AND($E51="Fail", COUNTA($F40:$H40)&gt;0)</formula>
    </cfRule>
  </conditionalFormatting>
  <conditionalFormatting sqref="F74:H74">
    <cfRule type="expression" dxfId="311" priority="2">
      <formula>AND($E74="Fail", COUNTA($F74:$H74)&gt;0)</formula>
    </cfRule>
  </conditionalFormatting>
  <conditionalFormatting sqref="F24:H28">
    <cfRule type="expression" dxfId="309" priority="1">
      <formula>AND($E24="Fail", COUNTA($F24:$H24)&gt;0)</formula>
    </cfRule>
  </conditionalFormatting>
  <hyperlinks>
    <hyperlink ref="B16" r:id="rId1" location="non-text-content" xr:uid="{F2F530E1-76B5-40F9-8DCE-2A7B04285102}"/>
    <hyperlink ref="B24" r:id="rId2" location="info-and-relationships" xr:uid="{AA7A2FC0-9C59-46C9-B0D1-69B64F3E217E}"/>
    <hyperlink ref="B18" r:id="rId3" location="audio-only-and-video-only-prerecorded" xr:uid="{98C5B4B8-371B-4CD7-A6A5-96265C16989D}"/>
    <hyperlink ref="B19" r:id="rId4" location="captions-prerecorded" xr:uid="{43893A24-FC45-4ED3-A1A4-D8D428A11C52}"/>
    <hyperlink ref="B20" r:id="rId5" location="audio-description-or-media-alternative-prerecorded" xr:uid="{F84F7C93-2FA4-466C-A3F3-E83C69F538AE}"/>
    <hyperlink ref="B21" r:id="rId6" location="captions-live" xr:uid="{218D80F0-BA20-4208-BFC9-43BDF5073DE8}"/>
    <hyperlink ref="B22" r:id="rId7" location="audio-description-prerecorded" xr:uid="{DDDB77CF-B5C5-4CB9-9DCB-9897F70B71DE}"/>
    <hyperlink ref="B25" r:id="rId8" location="meaningful-sequence" xr:uid="{F2DBC4C2-DFD9-4DA4-9DF7-134988E34E61}"/>
    <hyperlink ref="B26" r:id="rId9" location="sensory-characteristics" xr:uid="{38CD5AFF-8821-413C-BB8F-5B4EB0439650}"/>
    <hyperlink ref="B27" r:id="rId10" location="orientation" xr:uid="{1260C030-0EA5-4567-9A87-CE1D1F51FB01}"/>
    <hyperlink ref="B28" r:id="rId11" location="identify-input-purpose" xr:uid="{370457CB-CE19-473C-BDEC-813C309522B0}"/>
    <hyperlink ref="B30" r:id="rId12" location="use-of-color" xr:uid="{A831C534-2C35-46B9-8C33-492CCF80C197}"/>
    <hyperlink ref="B31" r:id="rId13" location="audio-control" xr:uid="{B45B9F8B-4032-442F-90E6-E361CFEAF5AD}"/>
    <hyperlink ref="B32" r:id="rId14" location="contrast-minimum" xr:uid="{0BF8D3FB-0873-4ECE-8147-8646AA095883}"/>
    <hyperlink ref="B33" r:id="rId15" location="resize-text" xr:uid="{16BBAB3E-A6F1-4F8B-82DB-78DC72F32BD4}"/>
    <hyperlink ref="B34" r:id="rId16" location="images-of-text" xr:uid="{1D1F151F-4E32-4BE1-9D6A-3B4D25BA1D4A}"/>
    <hyperlink ref="B35" r:id="rId17" location="reflow" xr:uid="{DA7C8E20-D442-40B2-8EF3-1861397DD116}"/>
    <hyperlink ref="B36" r:id="rId18" location="non-text-contrast" xr:uid="{31A9DC35-E22A-48AE-9467-2A3C582ECD71}"/>
    <hyperlink ref="B37" r:id="rId19" location="text-spacing" xr:uid="{23779FEE-F519-4565-B813-1A3A2EAB791D}"/>
    <hyperlink ref="B38" r:id="rId20" location="content-on-hover-or-focus" xr:uid="{FF1FB073-5AD3-4985-A680-082533180E88}"/>
    <hyperlink ref="B40" r:id="rId21" location="keyboard" xr:uid="{35C480FF-77B6-4378-BE29-F737ED9BE040}"/>
    <hyperlink ref="B41" r:id="rId22" location="no-keyboard-trap" xr:uid="{62892A07-8B2A-4D55-A416-B8C329879A7F}"/>
    <hyperlink ref="B43" r:id="rId23" location="character-key-shortcuts" xr:uid="{B4ECDC2A-AD65-49BF-8963-4B9D16373971}"/>
    <hyperlink ref="B44" r:id="rId24" location="timing-adjustable" xr:uid="{DDCB6A4B-4F6F-41B7-B5EE-B0F096FC2744}"/>
    <hyperlink ref="B45" r:id="rId25" location="pause-stop-hide" xr:uid="{3F60D947-374D-41AC-84AD-F4913E93A5E3}"/>
    <hyperlink ref="B47" r:id="rId26" location="three-flashes-or-below-threshold" xr:uid="{32345C39-C520-4E0C-AC1C-059C8ECCCCDD}"/>
    <hyperlink ref="B49" r:id="rId27" location="bypass-blocks" xr:uid="{801D6EFF-8406-4B7D-B0CC-C393F2736AAC}"/>
    <hyperlink ref="B50" r:id="rId28" location="page-titled" xr:uid="{DAF8E32E-D0C7-4394-9F7B-A85EF26A472C}"/>
    <hyperlink ref="B51" r:id="rId29" location="focus-order" xr:uid="{D92EE251-8B28-4439-B7C9-A942E2686A91}"/>
    <hyperlink ref="B52" r:id="rId30" location="link-purpose-in-context" xr:uid="{8E9211D4-D674-4181-BD99-88D991EEF98F}"/>
    <hyperlink ref="B53" r:id="rId31" location="multiple-ways" xr:uid="{3C0005F5-747A-44CA-BE90-4296C2CAFF90}"/>
    <hyperlink ref="B54" r:id="rId32" location="headings-and-labels" xr:uid="{329F2AEE-2B9B-4108-BC7B-5304CD7D6B57}"/>
    <hyperlink ref="B55" r:id="rId33" location="focus-visible" xr:uid="{0F48E85B-5536-463F-9085-6D2C1F2D2747}"/>
    <hyperlink ref="B56" r:id="rId34" location="focus-not-obscured-minimum" xr:uid="{20DF53A4-6BBB-48DA-AB12-908EE91B1AFC}"/>
    <hyperlink ref="B58" r:id="rId35" location="pointer-gestures" xr:uid="{E0BE56DB-A642-40A3-ABB8-8CEF1A070BF5}"/>
    <hyperlink ref="B59" r:id="rId36" location="pointer-cancellation" xr:uid="{815A174D-5A79-416C-9BA5-6E60557FEE5D}"/>
    <hyperlink ref="B60" r:id="rId37" location="label-in-name" xr:uid="{C2425176-F4A2-465F-8911-EAF497249870}"/>
    <hyperlink ref="B61" r:id="rId38" location="motion-actuation" xr:uid="{904A18FD-483B-495C-8F79-973D5A3175BC}"/>
    <hyperlink ref="B62" r:id="rId39" location="dragging-movements" xr:uid="{B94FD58B-A165-478E-9732-45BD38C5253A}"/>
    <hyperlink ref="B63" r:id="rId40" location="target-size-minimum" xr:uid="{DC9DF83A-61C4-468C-8492-8AD35EA48934}"/>
    <hyperlink ref="B65" r:id="rId41" location="language-of-page" xr:uid="{5A9A3306-C2DD-4B39-86F8-76D8A1EADE6E}"/>
    <hyperlink ref="B66" r:id="rId42" location="language-of-parts" xr:uid="{A98D3B5A-3B77-491B-87E9-FD3CA59CF1D1}"/>
    <hyperlink ref="B68" r:id="rId43" location="on-focus" xr:uid="{6FD44114-1077-4503-8DD0-6220EACBD3F9}"/>
    <hyperlink ref="B69" r:id="rId44" location="on-input" xr:uid="{E3BBBAEF-7453-4E33-B5CA-F17AA889C71B}"/>
    <hyperlink ref="B70" r:id="rId45" location="consistent-navigation" xr:uid="{0390BE6E-C895-482A-85FF-D819DEADF455}"/>
    <hyperlink ref="B71" r:id="rId46" location="consistent-identification" xr:uid="{A5D73265-FB2C-4BB5-A554-0365E50BF2A9}"/>
    <hyperlink ref="B72" r:id="rId47" location="consistent-help" xr:uid="{DA14ECEB-136C-41F6-A266-757CD273BFAA}"/>
    <hyperlink ref="B74" r:id="rId48" location="error-identification" xr:uid="{C85D189C-AC26-4E79-8A7A-1C87F40E0552}"/>
    <hyperlink ref="B75" r:id="rId49" location="labels-or-instructions" xr:uid="{FB3AD0D7-D63C-459B-95DE-1D241568A429}"/>
    <hyperlink ref="B76" r:id="rId50" location="error-suggestion" xr:uid="{E0EFA74D-CED1-4472-8205-0A684B510279}"/>
    <hyperlink ref="B77" r:id="rId51" location="error-prevention-legal-financial-data" xr:uid="{7BFAFEC1-66D3-4306-929B-538D0DEDF1CA}"/>
    <hyperlink ref="B78" r:id="rId52" location="redundant-entry" xr:uid="{BAD70E70-8697-410B-8B11-87D1CBEEA2CD}"/>
    <hyperlink ref="B79" r:id="rId53" location="accessible-authentication-minimum" xr:uid="{B362DCD2-4E46-4B81-9202-38421B862996}"/>
    <hyperlink ref="B81" r:id="rId54" location="parsing" xr:uid="{45E1EF9E-5EAA-45D0-BB5D-9D9CA9F06F08}"/>
    <hyperlink ref="B82" r:id="rId55" location="name-role-value" xr:uid="{7D697FFB-E869-4E99-B1FE-820D29BA9155}"/>
    <hyperlink ref="B83" r:id="rId56" location="status-messages" xr:uid="{0E927C0E-C2C9-49C1-889E-3FBCECD2634E}"/>
    <hyperlink ref="E11" r:id="rId57" xr:uid="{BD9ED830-C416-4F5C-9A30-2644246C1B6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A4F78-E736-431E-AA81-48820E6FC641}">
  <sheetPr>
    <tabColor rgb="FF7030A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216</v>
      </c>
    </row>
    <row r="3" spans="1:10" s="4" customFormat="1" ht="21.95" customHeight="1" x14ac:dyDescent="0.25">
      <c r="A3" s="53" t="s">
        <v>2</v>
      </c>
      <c r="B3" s="54"/>
      <c r="C3" s="5" t="s">
        <v>239</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31</v>
      </c>
      <c r="F10" s="8" t="str">
        <f>"Fail: " &amp; COUNTIF(E16:E83, "Fail")</f>
        <v>Fail: 3</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110.25" x14ac:dyDescent="0.25">
      <c r="A24" s="20">
        <v>7</v>
      </c>
      <c r="B24" s="47" t="s">
        <v>37</v>
      </c>
      <c r="C24" s="21" t="s">
        <v>22</v>
      </c>
      <c r="D24" s="20" t="s">
        <v>38</v>
      </c>
      <c r="E24" s="44" t="s">
        <v>155</v>
      </c>
      <c r="F24" s="20" t="s">
        <v>217</v>
      </c>
      <c r="G24" s="20" t="s">
        <v>218</v>
      </c>
      <c r="H24" s="25" t="s">
        <v>219</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220</v>
      </c>
      <c r="G28" s="20" t="s">
        <v>185</v>
      </c>
      <c r="H28" s="25" t="s">
        <v>221</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155</v>
      </c>
      <c r="F74" s="20" t="s">
        <v>210</v>
      </c>
      <c r="G74" s="20" t="s">
        <v>161</v>
      </c>
      <c r="H74" s="25" t="s">
        <v>211</v>
      </c>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308" priority="10">
      <formula>E1="Not Applicable"</formula>
    </cfRule>
    <cfRule type="expression" dxfId="307" priority="11">
      <formula>E1="Fail"</formula>
    </cfRule>
    <cfRule type="expression" dxfId="306" priority="12">
      <formula>E1="Pass"</formula>
    </cfRule>
  </conditionalFormatting>
  <conditionalFormatting sqref="E13:E1048576">
    <cfRule type="expression" dxfId="305" priority="6">
      <formula>E13="Not Applicable"</formula>
    </cfRule>
    <cfRule type="expression" dxfId="304" priority="7">
      <formula>E13="Fail"</formula>
    </cfRule>
    <cfRule type="expression" dxfId="303" priority="8">
      <formula>E13="Pass"</formula>
    </cfRule>
  </conditionalFormatting>
  <conditionalFormatting sqref="F1:G2 G3 F4:G10 F41:I50 F52:H68 I52:I87 F70:H73 F75:H1048576">
    <cfRule type="expression" dxfId="302" priority="9">
      <formula>AND($E1="Fail", COUNTA($F1:$H1)&gt;0)</formula>
    </cfRule>
  </conditionalFormatting>
  <conditionalFormatting sqref="F13:H23 F29:H34">
    <cfRule type="expression" dxfId="301" priority="4">
      <formula>AND($E13="Fail", COUNTA($F13:$H13)&gt;0)</formula>
    </cfRule>
  </conditionalFormatting>
  <conditionalFormatting sqref="F35:I39">
    <cfRule type="expression" dxfId="300" priority="5">
      <formula>AND($E35="Fail", COUNTA($F35:$H35)&gt;0)</formula>
    </cfRule>
  </conditionalFormatting>
  <conditionalFormatting sqref="F40:I40">
    <cfRule type="expression" dxfId="299" priority="15">
      <formula>AND($E40="Fail", COUNTA(#REF!)&gt;0)</formula>
    </cfRule>
  </conditionalFormatting>
  <conditionalFormatting sqref="H1:H11 I14:I34 F69 H69">
    <cfRule type="expression" dxfId="298" priority="13">
      <formula>AND($E1="Fail", COUNTA($F1:$H1)&gt;0)</formula>
    </cfRule>
  </conditionalFormatting>
  <conditionalFormatting sqref="I51">
    <cfRule type="expression" dxfId="297" priority="14">
      <formula>AND($E51="Fail", COUNTA($F40:$H40)&gt;0)</formula>
    </cfRule>
  </conditionalFormatting>
  <conditionalFormatting sqref="F74:H74">
    <cfRule type="expression" dxfId="296" priority="3">
      <formula>AND($E74="Fail", COUNTA($F74:$H74)&gt;0)</formula>
    </cfRule>
  </conditionalFormatting>
  <conditionalFormatting sqref="F24:H28">
    <cfRule type="expression" dxfId="294" priority="1">
      <formula>AND($E24="Fail", COUNTA($F24:$H24)&gt;0)</formula>
    </cfRule>
  </conditionalFormatting>
  <hyperlinks>
    <hyperlink ref="B16" r:id="rId1" location="non-text-content" xr:uid="{94F22CB1-1E16-40F5-B962-7A6D905B690A}"/>
    <hyperlink ref="B24" r:id="rId2" location="info-and-relationships" xr:uid="{EC7BC02F-DC6B-43CF-99B2-4A90FF722877}"/>
    <hyperlink ref="B18" r:id="rId3" location="audio-only-and-video-only-prerecorded" xr:uid="{4BDBE215-CBC9-42BC-8898-E48D3523FEA6}"/>
    <hyperlink ref="B19" r:id="rId4" location="captions-prerecorded" xr:uid="{F0379A48-06DE-4227-913D-9FBCE404775B}"/>
    <hyperlink ref="B20" r:id="rId5" location="audio-description-or-media-alternative-prerecorded" xr:uid="{3BC69E68-8A79-48A2-A3CE-B94146735E11}"/>
    <hyperlink ref="B21" r:id="rId6" location="captions-live" xr:uid="{CD2313D3-53DC-448D-8539-E2E0A3154B02}"/>
    <hyperlink ref="B22" r:id="rId7" location="audio-description-prerecorded" xr:uid="{06860CCC-F307-47B7-8924-77BC0CB71805}"/>
    <hyperlink ref="B25" r:id="rId8" location="meaningful-sequence" xr:uid="{ACF53F55-DE74-4586-B85E-8B96754D3AB4}"/>
    <hyperlink ref="B26" r:id="rId9" location="sensory-characteristics" xr:uid="{04732C43-6E21-4F4A-9188-7E59FBA04340}"/>
    <hyperlink ref="B27" r:id="rId10" location="orientation" xr:uid="{1202AF18-EFC1-4079-A06B-38312A5DF774}"/>
    <hyperlink ref="B28" r:id="rId11" location="identify-input-purpose" xr:uid="{B85D3341-E3A8-4267-82AE-4EDCB65572BF}"/>
    <hyperlink ref="B30" r:id="rId12" location="use-of-color" xr:uid="{2BCA9FD4-0E3F-491A-8C9B-4EC26062CA71}"/>
    <hyperlink ref="B31" r:id="rId13" location="audio-control" xr:uid="{3ADC6BA7-1A2D-4C61-BEDB-85AB504F4E11}"/>
    <hyperlink ref="B32" r:id="rId14" location="contrast-minimum" xr:uid="{AD74382A-BFD7-4CBC-8689-5AF3AC81191A}"/>
    <hyperlink ref="B33" r:id="rId15" location="resize-text" xr:uid="{A0601A67-7C26-4602-9C30-16C790E4BA8B}"/>
    <hyperlink ref="B34" r:id="rId16" location="images-of-text" xr:uid="{D8E809B4-C379-4758-8BCE-7A69A6CADD36}"/>
    <hyperlink ref="B35" r:id="rId17" location="reflow" xr:uid="{7A85407F-5B7D-43D9-B3A3-58698399E6EA}"/>
    <hyperlink ref="B36" r:id="rId18" location="non-text-contrast" xr:uid="{AB2C8735-FAE4-4578-94A7-EA0156284011}"/>
    <hyperlink ref="B37" r:id="rId19" location="text-spacing" xr:uid="{2F9F880A-F925-4720-8710-07A5C8A639AD}"/>
    <hyperlink ref="B38" r:id="rId20" location="content-on-hover-or-focus" xr:uid="{9EE99E3A-6669-4E73-A42D-F01A156FB7CC}"/>
    <hyperlink ref="B40" r:id="rId21" location="keyboard" xr:uid="{FC354499-75F5-4B38-A427-C0F07CF57A94}"/>
    <hyperlink ref="B41" r:id="rId22" location="no-keyboard-trap" xr:uid="{917990A5-8858-4DE9-AC34-329F43D4F4AE}"/>
    <hyperlink ref="B43" r:id="rId23" location="character-key-shortcuts" xr:uid="{8EC190AA-5286-4F49-B348-DFBCEE019A79}"/>
    <hyperlink ref="B44" r:id="rId24" location="timing-adjustable" xr:uid="{150E4CEA-9613-4840-A041-652F2536A9E6}"/>
    <hyperlink ref="B45" r:id="rId25" location="pause-stop-hide" xr:uid="{BEC7D3D3-5433-4271-8129-B0F01D393B4C}"/>
    <hyperlink ref="B47" r:id="rId26" location="three-flashes-or-below-threshold" xr:uid="{5D11901A-A741-4A31-8584-FCCD71448FEE}"/>
    <hyperlink ref="B49" r:id="rId27" location="bypass-blocks" xr:uid="{C93AF6BC-F615-4F5D-B570-603F1E98B44C}"/>
    <hyperlink ref="B50" r:id="rId28" location="page-titled" xr:uid="{8F05B65D-130C-4640-820F-55A859B2C61A}"/>
    <hyperlink ref="B51" r:id="rId29" location="focus-order" xr:uid="{6E2043C6-A888-421F-9E5F-EAC22EFD49B7}"/>
    <hyperlink ref="B52" r:id="rId30" location="link-purpose-in-context" xr:uid="{0BA2B8D1-B71F-4F29-8E34-08A711B37FF0}"/>
    <hyperlink ref="B53" r:id="rId31" location="multiple-ways" xr:uid="{1287D714-07DB-4FE3-848C-9FD24F990267}"/>
    <hyperlink ref="B54" r:id="rId32" location="headings-and-labels" xr:uid="{82B85F6A-4522-4D73-8D05-A365E396D425}"/>
    <hyperlink ref="B55" r:id="rId33" location="focus-visible" xr:uid="{640D5F47-A1C4-4B40-8954-B32DF33717DE}"/>
    <hyperlink ref="B56" r:id="rId34" location="focus-not-obscured-minimum" xr:uid="{F0421C1B-9DF6-4B4B-B8D9-FB9CA70FE2CB}"/>
    <hyperlink ref="B58" r:id="rId35" location="pointer-gestures" xr:uid="{FB874AE6-7C64-4A5D-9952-F873A1D96DBD}"/>
    <hyperlink ref="B59" r:id="rId36" location="pointer-cancellation" xr:uid="{480FB894-A8F4-448C-941E-A3F51CB3EA3F}"/>
    <hyperlink ref="B60" r:id="rId37" location="label-in-name" xr:uid="{4804289C-5B1E-495B-98C1-75D5E5F2DA68}"/>
    <hyperlink ref="B61" r:id="rId38" location="motion-actuation" xr:uid="{5141E45C-B52E-4904-BFD5-5E09CF13081B}"/>
    <hyperlink ref="B62" r:id="rId39" location="dragging-movements" xr:uid="{834DD246-687A-4350-A470-12C9F1652824}"/>
    <hyperlink ref="B63" r:id="rId40" location="target-size-minimum" xr:uid="{B3219AA0-98D2-41AA-8949-C860274FEF6E}"/>
    <hyperlink ref="B65" r:id="rId41" location="language-of-page" xr:uid="{A20D99CF-E0A2-4910-89F5-9DC9D305717D}"/>
    <hyperlink ref="B66" r:id="rId42" location="language-of-parts" xr:uid="{20C78164-2917-4196-B783-5BE2378492CB}"/>
    <hyperlink ref="B68" r:id="rId43" location="on-focus" xr:uid="{49283FD1-0360-40BB-8560-39009791B4C5}"/>
    <hyperlink ref="B69" r:id="rId44" location="on-input" xr:uid="{10537513-8DBA-445B-AB5C-1A89ADE8C6D9}"/>
    <hyperlink ref="B70" r:id="rId45" location="consistent-navigation" xr:uid="{F6F5210A-06E6-4633-AC8B-78A078432246}"/>
    <hyperlink ref="B71" r:id="rId46" location="consistent-identification" xr:uid="{575E3E24-11C3-4BC2-A54C-8B8950F24E23}"/>
    <hyperlink ref="B72" r:id="rId47" location="consistent-help" xr:uid="{890547A5-DED8-41F6-855E-0C50EB5F5CCB}"/>
    <hyperlink ref="B74" r:id="rId48" location="error-identification" xr:uid="{47BF8BD8-01FB-43CB-A3B9-4C08B80BE563}"/>
    <hyperlink ref="B75" r:id="rId49" location="labels-or-instructions" xr:uid="{3747BBB2-7B94-4EF8-8634-C33CA2803D8A}"/>
    <hyperlink ref="B76" r:id="rId50" location="error-suggestion" xr:uid="{E42E9089-FCAA-4539-A036-56C83BF6352F}"/>
    <hyperlink ref="B77" r:id="rId51" location="error-prevention-legal-financial-data" xr:uid="{535BC7F2-B446-40CB-9A95-1EAB42FA90D8}"/>
    <hyperlink ref="B78" r:id="rId52" location="redundant-entry" xr:uid="{D77AA4A1-A1DB-4408-81CB-E7DDAE68C3BD}"/>
    <hyperlink ref="B79" r:id="rId53" location="accessible-authentication-minimum" xr:uid="{3F980296-5F8D-438D-A97D-2157A955D9D4}"/>
    <hyperlink ref="B81" r:id="rId54" location="parsing" xr:uid="{B243EBF9-E9C0-4C7D-AE52-83A1B182A32E}"/>
    <hyperlink ref="B82" r:id="rId55" location="name-role-value" xr:uid="{4D293A59-A3B8-408E-A323-8BC951C78877}"/>
    <hyperlink ref="B83" r:id="rId56" location="status-messages" xr:uid="{80AE0FDF-810C-4EF3-B04C-528167543A44}"/>
    <hyperlink ref="E11" r:id="rId57" xr:uid="{A3625E37-1106-4362-8653-266D3F7D214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5B07-6CB5-47D5-923D-1ABDE2FF3808}">
  <sheetPr>
    <tabColor rgb="FF7030A0"/>
  </sheetPr>
  <dimension ref="A1:O87"/>
  <sheetViews>
    <sheetView workbookViewId="0">
      <selection activeCell="C3" sqref="C3"/>
    </sheetView>
  </sheetViews>
  <sheetFormatPr defaultColWidth="0" defaultRowHeight="15.75" zeroHeight="1" x14ac:dyDescent="0.25"/>
  <cols>
    <col min="1" max="1" width="5.42578125" style="12" customWidth="1"/>
    <col min="2" max="2" width="20.28515625" style="12" customWidth="1"/>
    <col min="3" max="3" width="13.140625" style="43" customWidth="1"/>
    <col min="4" max="4" width="29.7109375" style="12" customWidth="1"/>
    <col min="5" max="5" width="22.42578125" style="12" customWidth="1"/>
    <col min="6" max="6" width="53.42578125" style="12" customWidth="1"/>
    <col min="7" max="7" width="36.7109375" style="12" customWidth="1"/>
    <col min="8" max="8" width="45" style="12" customWidth="1"/>
    <col min="9" max="9" width="45" style="15" customWidth="1"/>
    <col min="10" max="10" width="8.7109375" style="12" customWidth="1"/>
    <col min="11" max="15" width="0" style="12" hidden="1" customWidth="1"/>
    <col min="16" max="16384" width="8.7109375" style="12" hidden="1"/>
  </cols>
  <sheetData>
    <row r="1" spans="1:10" s="3" customFormat="1" ht="32.1" customHeight="1" x14ac:dyDescent="0.25">
      <c r="A1" s="1" t="s">
        <v>0</v>
      </c>
      <c r="B1" s="2"/>
      <c r="C1" s="2"/>
    </row>
    <row r="2" spans="1:10" s="4" customFormat="1" ht="32.1" customHeight="1" x14ac:dyDescent="0.25">
      <c r="A2" s="59" t="s">
        <v>1</v>
      </c>
      <c r="B2" s="60"/>
      <c r="C2" s="4" t="s">
        <v>222</v>
      </c>
    </row>
    <row r="3" spans="1:10" s="4" customFormat="1" ht="21.95" customHeight="1" x14ac:dyDescent="0.25">
      <c r="A3" s="53" t="s">
        <v>2</v>
      </c>
      <c r="B3" s="54"/>
      <c r="C3" s="5" t="s">
        <v>239</v>
      </c>
      <c r="F3" s="5"/>
    </row>
    <row r="4" spans="1:10" s="4" customFormat="1" ht="21.95" customHeight="1" x14ac:dyDescent="0.25">
      <c r="A4" s="53" t="s">
        <v>3</v>
      </c>
      <c r="B4" s="54"/>
    </row>
    <row r="5" spans="1:10" s="4" customFormat="1" ht="21.95" customHeight="1" x14ac:dyDescent="0.25">
      <c r="A5" s="53" t="s">
        <v>4</v>
      </c>
      <c r="B5" s="61"/>
      <c r="C5" s="6">
        <v>46125</v>
      </c>
    </row>
    <row r="6" spans="1:10" s="4" customFormat="1" ht="32.1" customHeight="1" x14ac:dyDescent="0.25">
      <c r="A6" s="55" t="s">
        <v>5</v>
      </c>
      <c r="B6" s="56"/>
    </row>
    <row r="7" spans="1:10" s="4" customFormat="1" ht="32.1" customHeight="1" x14ac:dyDescent="0.25">
      <c r="A7" s="55" t="s">
        <v>6</v>
      </c>
      <c r="B7" s="56"/>
    </row>
    <row r="8" spans="1:10" s="4" customFormat="1" ht="32.1" hidden="1" customHeight="1" x14ac:dyDescent="0.25">
      <c r="A8" s="51" t="s">
        <v>7</v>
      </c>
      <c r="B8" s="52"/>
    </row>
    <row r="9" spans="1:10" s="4" customFormat="1" ht="32.1" hidden="1" customHeight="1" x14ac:dyDescent="0.25">
      <c r="A9" s="53" t="s">
        <v>8</v>
      </c>
      <c r="B9" s="54"/>
      <c r="C9" s="4" t="s">
        <v>9</v>
      </c>
    </row>
    <row r="10" spans="1:10" s="4" customFormat="1" ht="32.1" customHeight="1" x14ac:dyDescent="0.25">
      <c r="A10" s="55" t="s">
        <v>10</v>
      </c>
      <c r="B10" s="56"/>
      <c r="D10" s="4" t="str">
        <f>"Total Number of Test: " &amp; COUNTA(E16:E83)</f>
        <v>Total Number of Test: 56</v>
      </c>
      <c r="E10" s="7" t="str">
        <f>"Pass: " &amp; COUNTIF(E16:E83, "Pass")</f>
        <v>Pass: 32</v>
      </c>
      <c r="F10" s="8" t="str">
        <f>"Fail: " &amp; COUNTIF(E16:E83, "Fail")</f>
        <v>Fail: 2</v>
      </c>
      <c r="G10" s="9" t="str">
        <f>"Not applicable: " &amp; COUNTIF(E16:E83, "Not applicable")</f>
        <v>Not applicable: 22</v>
      </c>
    </row>
    <row r="11" spans="1:10" s="4" customFormat="1" ht="63" customHeight="1" x14ac:dyDescent="0.25">
      <c r="A11" s="55" t="s">
        <v>148</v>
      </c>
      <c r="B11" s="56"/>
      <c r="D11" s="45" t="s">
        <v>150</v>
      </c>
      <c r="E11" s="48" t="s">
        <v>149</v>
      </c>
      <c r="F11" s="45"/>
      <c r="G11" s="45"/>
    </row>
    <row r="12" spans="1:10" s="4" customFormat="1" ht="45" customHeight="1" x14ac:dyDescent="0.25">
      <c r="A12" s="51" t="s">
        <v>11</v>
      </c>
      <c r="B12" s="51"/>
      <c r="C12" s="57" t="s">
        <v>153</v>
      </c>
      <c r="D12" s="58"/>
      <c r="E12" s="58"/>
      <c r="F12" s="58"/>
      <c r="G12" s="58"/>
      <c r="H12" s="58"/>
      <c r="I12" s="12"/>
      <c r="J12" s="12"/>
    </row>
    <row r="13" spans="1:10" ht="15" x14ac:dyDescent="0.25">
      <c r="A13" s="10"/>
      <c r="B13" s="10"/>
      <c r="C13" s="11"/>
      <c r="D13" s="10"/>
      <c r="E13" s="10"/>
      <c r="I13" s="12"/>
    </row>
    <row r="14" spans="1:10" s="15" customFormat="1" ht="31.5" x14ac:dyDescent="0.25">
      <c r="A14" s="13" t="s">
        <v>12</v>
      </c>
      <c r="B14" s="13" t="s">
        <v>13</v>
      </c>
      <c r="C14" s="14" t="s">
        <v>14</v>
      </c>
      <c r="D14" s="13" t="s">
        <v>15</v>
      </c>
      <c r="E14" s="13" t="s">
        <v>16</v>
      </c>
      <c r="F14" s="13" t="s">
        <v>17</v>
      </c>
      <c r="G14" s="13" t="s">
        <v>18</v>
      </c>
      <c r="H14" s="13" t="s">
        <v>19</v>
      </c>
      <c r="I14" s="49" t="s">
        <v>152</v>
      </c>
      <c r="J14" s="12"/>
    </row>
    <row r="15" spans="1:10" s="19" customFormat="1" ht="23.25" customHeight="1" x14ac:dyDescent="0.25">
      <c r="A15" s="16"/>
      <c r="B15" s="46" t="s">
        <v>20</v>
      </c>
      <c r="C15" s="17"/>
      <c r="D15" s="18"/>
      <c r="E15" s="18"/>
      <c r="F15" s="18"/>
      <c r="G15" s="18"/>
      <c r="H15" s="18"/>
      <c r="I15" s="18"/>
      <c r="J15" s="12"/>
    </row>
    <row r="16" spans="1:10" s="19" customFormat="1" ht="63" x14ac:dyDescent="0.25">
      <c r="A16" s="20">
        <v>1</v>
      </c>
      <c r="B16" s="47" t="s">
        <v>21</v>
      </c>
      <c r="C16" s="21" t="s">
        <v>22</v>
      </c>
      <c r="D16" s="20" t="s">
        <v>23</v>
      </c>
      <c r="E16" s="44" t="s">
        <v>41</v>
      </c>
      <c r="F16" s="20"/>
      <c r="G16" s="20"/>
      <c r="H16" s="25"/>
      <c r="I16" s="25"/>
      <c r="J16" s="12"/>
    </row>
    <row r="17" spans="1:10" s="19" customFormat="1" ht="23.25" customHeight="1" x14ac:dyDescent="0.25">
      <c r="A17" s="22"/>
      <c r="B17" s="46" t="s">
        <v>24</v>
      </c>
      <c r="C17" s="23"/>
      <c r="D17" s="24"/>
      <c r="E17" s="24"/>
      <c r="F17" s="24"/>
      <c r="G17" s="24"/>
      <c r="H17" s="24"/>
      <c r="I17" s="24"/>
      <c r="J17" s="12"/>
    </row>
    <row r="18" spans="1:10" s="19" customFormat="1" ht="94.5" x14ac:dyDescent="0.25">
      <c r="A18" s="20">
        <v>2</v>
      </c>
      <c r="B18" s="47" t="s">
        <v>25</v>
      </c>
      <c r="C18" s="21" t="s">
        <v>22</v>
      </c>
      <c r="D18" s="20" t="s">
        <v>26</v>
      </c>
      <c r="E18" s="44" t="s">
        <v>154</v>
      </c>
      <c r="F18" s="20"/>
      <c r="G18" s="20"/>
      <c r="H18" s="25"/>
      <c r="I18" s="25"/>
    </row>
    <row r="19" spans="1:10" s="19" customFormat="1" ht="47.25" x14ac:dyDescent="0.25">
      <c r="A19" s="20">
        <v>3</v>
      </c>
      <c r="B19" s="47" t="s">
        <v>27</v>
      </c>
      <c r="C19" s="21" t="s">
        <v>22</v>
      </c>
      <c r="D19" s="20" t="s">
        <v>28</v>
      </c>
      <c r="E19" s="44" t="s">
        <v>154</v>
      </c>
      <c r="F19" s="20"/>
      <c r="G19" s="20"/>
      <c r="H19" s="25"/>
      <c r="I19" s="25"/>
    </row>
    <row r="20" spans="1:10" s="19" customFormat="1" ht="78.75" x14ac:dyDescent="0.25">
      <c r="A20" s="20">
        <v>4</v>
      </c>
      <c r="B20" s="47" t="s">
        <v>29</v>
      </c>
      <c r="C20" s="21" t="s">
        <v>22</v>
      </c>
      <c r="D20" s="20" t="s">
        <v>30</v>
      </c>
      <c r="E20" s="44" t="s">
        <v>154</v>
      </c>
      <c r="F20" s="20"/>
      <c r="G20" s="20"/>
      <c r="H20" s="25"/>
      <c r="I20" s="25"/>
    </row>
    <row r="21" spans="1:10" s="19" customFormat="1" ht="47.25" x14ac:dyDescent="0.25">
      <c r="A21" s="20">
        <v>5</v>
      </c>
      <c r="B21" s="47" t="s">
        <v>31</v>
      </c>
      <c r="C21" s="21" t="s">
        <v>32</v>
      </c>
      <c r="D21" s="20" t="s">
        <v>33</v>
      </c>
      <c r="E21" s="44" t="s">
        <v>154</v>
      </c>
      <c r="F21" s="20"/>
      <c r="G21" s="20"/>
      <c r="H21" s="25"/>
      <c r="I21" s="25"/>
    </row>
    <row r="22" spans="1:10" s="19" customFormat="1" ht="63" x14ac:dyDescent="0.25">
      <c r="A22" s="20">
        <v>6</v>
      </c>
      <c r="B22" s="47" t="s">
        <v>34</v>
      </c>
      <c r="C22" s="21" t="s">
        <v>32</v>
      </c>
      <c r="D22" s="20" t="s">
        <v>35</v>
      </c>
      <c r="E22" s="44" t="s">
        <v>154</v>
      </c>
      <c r="F22" s="20"/>
      <c r="G22" s="20"/>
      <c r="H22" s="25"/>
      <c r="I22" s="25"/>
    </row>
    <row r="23" spans="1:10" s="19" customFormat="1" ht="23.25" customHeight="1" x14ac:dyDescent="0.25">
      <c r="A23" s="26"/>
      <c r="B23" s="46" t="s">
        <v>36</v>
      </c>
      <c r="C23" s="23"/>
      <c r="D23" s="24"/>
      <c r="E23" s="24"/>
      <c r="F23" s="24"/>
      <c r="G23" s="24"/>
      <c r="H23" s="24"/>
      <c r="I23" s="24"/>
    </row>
    <row r="24" spans="1:10" s="19" customFormat="1" ht="78.75" x14ac:dyDescent="0.25">
      <c r="A24" s="20">
        <v>7</v>
      </c>
      <c r="B24" s="47" t="s">
        <v>37</v>
      </c>
      <c r="C24" s="21" t="s">
        <v>22</v>
      </c>
      <c r="D24" s="20" t="s">
        <v>38</v>
      </c>
      <c r="E24" s="44" t="s">
        <v>155</v>
      </c>
      <c r="F24" s="20" t="s">
        <v>223</v>
      </c>
      <c r="G24" s="20" t="s">
        <v>224</v>
      </c>
      <c r="H24" s="25" t="s">
        <v>225</v>
      </c>
      <c r="I24" s="25"/>
    </row>
    <row r="25" spans="1:10" s="19" customFormat="1" ht="94.5" x14ac:dyDescent="0.25">
      <c r="A25" s="20">
        <v>8</v>
      </c>
      <c r="B25" s="47" t="s">
        <v>39</v>
      </c>
      <c r="C25" s="21" t="s">
        <v>22</v>
      </c>
      <c r="D25" s="20" t="s">
        <v>40</v>
      </c>
      <c r="E25" s="44" t="s">
        <v>41</v>
      </c>
      <c r="F25" s="20"/>
      <c r="G25" s="20"/>
      <c r="H25" s="25"/>
      <c r="I25" s="25"/>
    </row>
    <row r="26" spans="1:10" s="19" customFormat="1" ht="126" x14ac:dyDescent="0.25">
      <c r="A26" s="20">
        <v>9</v>
      </c>
      <c r="B26" s="47" t="s">
        <v>42</v>
      </c>
      <c r="C26" s="21" t="s">
        <v>22</v>
      </c>
      <c r="D26" s="20" t="s">
        <v>43</v>
      </c>
      <c r="E26" s="44" t="s">
        <v>41</v>
      </c>
      <c r="F26" s="20"/>
      <c r="G26" s="20"/>
      <c r="H26" s="25"/>
      <c r="I26" s="25"/>
    </row>
    <row r="27" spans="1:10" s="19" customFormat="1" ht="94.5" x14ac:dyDescent="0.25">
      <c r="A27" s="20">
        <v>10</v>
      </c>
      <c r="B27" s="47" t="s">
        <v>44</v>
      </c>
      <c r="C27" s="21" t="s">
        <v>32</v>
      </c>
      <c r="D27" s="20" t="s">
        <v>45</v>
      </c>
      <c r="E27" s="44" t="s">
        <v>41</v>
      </c>
      <c r="F27" s="20"/>
      <c r="G27" s="20"/>
      <c r="H27" s="25"/>
      <c r="I27" s="25"/>
    </row>
    <row r="28" spans="1:10" s="19" customFormat="1" ht="78.75" x14ac:dyDescent="0.25">
      <c r="A28" s="20">
        <v>11</v>
      </c>
      <c r="B28" s="47" t="s">
        <v>46</v>
      </c>
      <c r="C28" s="21" t="s">
        <v>32</v>
      </c>
      <c r="D28" s="20" t="s">
        <v>47</v>
      </c>
      <c r="E28" s="44" t="s">
        <v>155</v>
      </c>
      <c r="F28" s="20" t="s">
        <v>227</v>
      </c>
      <c r="G28" s="20" t="s">
        <v>185</v>
      </c>
      <c r="H28" s="25" t="s">
        <v>226</v>
      </c>
      <c r="I28" s="25"/>
    </row>
    <row r="29" spans="1:10" s="19" customFormat="1" ht="23.25" customHeight="1" x14ac:dyDescent="0.25">
      <c r="A29" s="26"/>
      <c r="B29" s="46" t="s">
        <v>48</v>
      </c>
      <c r="C29" s="23"/>
      <c r="D29" s="23"/>
      <c r="E29" s="23"/>
      <c r="F29" s="24"/>
      <c r="G29" s="24"/>
      <c r="H29" s="24"/>
      <c r="I29" s="24"/>
    </row>
    <row r="30" spans="1:10" s="19" customFormat="1" ht="94.5" x14ac:dyDescent="0.25">
      <c r="A30" s="20">
        <v>12</v>
      </c>
      <c r="B30" s="47" t="s">
        <v>49</v>
      </c>
      <c r="C30" s="21" t="s">
        <v>22</v>
      </c>
      <c r="D30" s="20" t="s">
        <v>50</v>
      </c>
      <c r="E30" s="44" t="s">
        <v>41</v>
      </c>
      <c r="F30" s="20"/>
      <c r="G30" s="20"/>
      <c r="H30" s="25"/>
      <c r="I30" s="25"/>
    </row>
    <row r="31" spans="1:10" s="19" customFormat="1" ht="141.75" x14ac:dyDescent="0.25">
      <c r="A31" s="20">
        <v>13</v>
      </c>
      <c r="B31" s="47" t="s">
        <v>51</v>
      </c>
      <c r="C31" s="21" t="s">
        <v>22</v>
      </c>
      <c r="D31" s="20" t="s">
        <v>52</v>
      </c>
      <c r="E31" s="44" t="s">
        <v>154</v>
      </c>
      <c r="F31" s="20"/>
      <c r="G31" s="20"/>
      <c r="H31" s="25"/>
      <c r="I31" s="25"/>
    </row>
    <row r="32" spans="1:10" s="19" customFormat="1" ht="94.5" x14ac:dyDescent="0.25">
      <c r="A32" s="20">
        <v>14</v>
      </c>
      <c r="B32" s="47" t="s">
        <v>53</v>
      </c>
      <c r="C32" s="21" t="s">
        <v>32</v>
      </c>
      <c r="D32" s="20" t="s">
        <v>54</v>
      </c>
      <c r="E32" s="44" t="s">
        <v>41</v>
      </c>
      <c r="F32" s="20"/>
      <c r="G32" s="20"/>
      <c r="H32" s="25"/>
      <c r="I32" s="25"/>
    </row>
    <row r="33" spans="1:9" s="19" customFormat="1" ht="94.5" x14ac:dyDescent="0.25">
      <c r="A33" s="20">
        <v>15</v>
      </c>
      <c r="B33" s="47" t="s">
        <v>55</v>
      </c>
      <c r="C33" s="21" t="s">
        <v>32</v>
      </c>
      <c r="D33" s="20" t="s">
        <v>56</v>
      </c>
      <c r="E33" s="44" t="s">
        <v>41</v>
      </c>
      <c r="F33" s="20"/>
      <c r="G33" s="20"/>
      <c r="H33" s="25"/>
      <c r="I33" s="25"/>
    </row>
    <row r="34" spans="1:9" s="19" customFormat="1" ht="78.75" x14ac:dyDescent="0.25">
      <c r="A34" s="20">
        <v>16</v>
      </c>
      <c r="B34" s="47" t="s">
        <v>57</v>
      </c>
      <c r="C34" s="21" t="s">
        <v>32</v>
      </c>
      <c r="D34" s="20" t="s">
        <v>58</v>
      </c>
      <c r="E34" s="44" t="s">
        <v>154</v>
      </c>
      <c r="F34" s="20"/>
      <c r="G34" s="20"/>
      <c r="H34" s="25"/>
      <c r="I34" s="25"/>
    </row>
    <row r="35" spans="1:9" s="19" customFormat="1" ht="78.75" x14ac:dyDescent="0.25">
      <c r="A35" s="20">
        <v>17</v>
      </c>
      <c r="B35" s="47" t="s">
        <v>59</v>
      </c>
      <c r="C35" s="21" t="s">
        <v>32</v>
      </c>
      <c r="D35" s="20" t="s">
        <v>60</v>
      </c>
      <c r="E35" s="44" t="s">
        <v>41</v>
      </c>
      <c r="F35" s="20"/>
      <c r="G35" s="20"/>
      <c r="H35" s="20"/>
      <c r="I35" s="20"/>
    </row>
    <row r="36" spans="1:9" s="19" customFormat="1" ht="63" x14ac:dyDescent="0.25">
      <c r="A36" s="20">
        <v>18</v>
      </c>
      <c r="B36" s="47" t="s">
        <v>61</v>
      </c>
      <c r="C36" s="21" t="s">
        <v>32</v>
      </c>
      <c r="D36" s="20" t="s">
        <v>62</v>
      </c>
      <c r="E36" s="44" t="s">
        <v>41</v>
      </c>
      <c r="F36" s="20"/>
      <c r="G36" s="20"/>
      <c r="H36" s="25"/>
      <c r="I36" s="25"/>
    </row>
    <row r="37" spans="1:9" s="19" customFormat="1" ht="267.75" x14ac:dyDescent="0.25">
      <c r="A37" s="20">
        <v>19</v>
      </c>
      <c r="B37" s="47" t="s">
        <v>63</v>
      </c>
      <c r="C37" s="21" t="s">
        <v>41</v>
      </c>
      <c r="D37" s="20" t="s">
        <v>64</v>
      </c>
      <c r="E37" s="44" t="s">
        <v>41</v>
      </c>
      <c r="F37" s="20"/>
      <c r="G37" s="20"/>
      <c r="H37" s="25"/>
      <c r="I37" s="25"/>
    </row>
    <row r="38" spans="1:9" s="19" customFormat="1" ht="126" x14ac:dyDescent="0.25">
      <c r="A38" s="20">
        <v>20</v>
      </c>
      <c r="B38" s="47" t="s">
        <v>65</v>
      </c>
      <c r="C38" s="21" t="s">
        <v>32</v>
      </c>
      <c r="D38" s="20" t="s">
        <v>66</v>
      </c>
      <c r="E38" s="44" t="s">
        <v>154</v>
      </c>
      <c r="F38" s="20"/>
      <c r="G38" s="20"/>
      <c r="H38" s="25"/>
      <c r="I38" s="25"/>
    </row>
    <row r="39" spans="1:9" s="19" customFormat="1" ht="23.25" customHeight="1" x14ac:dyDescent="0.25">
      <c r="A39" s="22"/>
      <c r="B39" s="46" t="s">
        <v>67</v>
      </c>
      <c r="C39" s="27"/>
      <c r="D39" s="28"/>
      <c r="E39" s="28"/>
      <c r="F39" s="28"/>
      <c r="G39" s="28"/>
      <c r="H39" s="28"/>
      <c r="I39" s="28"/>
    </row>
    <row r="40" spans="1:9" s="19" customFormat="1" ht="78.75" x14ac:dyDescent="0.25">
      <c r="A40" s="20">
        <v>21</v>
      </c>
      <c r="B40" s="47" t="s">
        <v>68</v>
      </c>
      <c r="C40" s="21" t="s">
        <v>22</v>
      </c>
      <c r="D40" s="20" t="s">
        <v>69</v>
      </c>
      <c r="E40" s="44" t="s">
        <v>41</v>
      </c>
      <c r="F40" s="25"/>
      <c r="G40" s="25"/>
      <c r="H40" s="25"/>
      <c r="I40" s="25"/>
    </row>
    <row r="41" spans="1:9" s="19" customFormat="1" ht="110.25" x14ac:dyDescent="0.25">
      <c r="A41" s="20">
        <v>22</v>
      </c>
      <c r="B41" s="47" t="s">
        <v>70</v>
      </c>
      <c r="C41" s="21" t="s">
        <v>22</v>
      </c>
      <c r="D41" s="20" t="s">
        <v>71</v>
      </c>
      <c r="E41" s="44" t="s">
        <v>41</v>
      </c>
      <c r="F41" s="20"/>
      <c r="G41" s="20"/>
      <c r="H41" s="25"/>
      <c r="I41" s="25"/>
    </row>
    <row r="42" spans="1:9" s="19" customFormat="1" ht="23.25" customHeight="1" x14ac:dyDescent="0.25">
      <c r="A42" s="22"/>
      <c r="B42" s="46" t="s">
        <v>72</v>
      </c>
      <c r="C42" s="27"/>
      <c r="D42" s="28"/>
      <c r="E42" s="28"/>
      <c r="F42" s="28"/>
      <c r="G42" s="28"/>
      <c r="H42" s="28"/>
      <c r="I42" s="28"/>
    </row>
    <row r="43" spans="1:9" s="19" customFormat="1" ht="330.75" x14ac:dyDescent="0.25">
      <c r="A43" s="20">
        <v>23</v>
      </c>
      <c r="B43" s="47" t="s">
        <v>73</v>
      </c>
      <c r="C43" s="21" t="s">
        <v>22</v>
      </c>
      <c r="D43" s="29" t="s">
        <v>74</v>
      </c>
      <c r="E43" s="44" t="s">
        <v>154</v>
      </c>
      <c r="F43" s="20"/>
      <c r="G43" s="20"/>
      <c r="H43" s="25"/>
      <c r="I43" s="25"/>
    </row>
    <row r="44" spans="1:9" s="19" customFormat="1" ht="315" x14ac:dyDescent="0.25">
      <c r="A44" s="20">
        <v>24</v>
      </c>
      <c r="B44" s="47" t="s">
        <v>75</v>
      </c>
      <c r="C44" s="21" t="s">
        <v>22</v>
      </c>
      <c r="D44" s="20" t="s">
        <v>76</v>
      </c>
      <c r="E44" s="44" t="s">
        <v>154</v>
      </c>
      <c r="F44" s="20"/>
      <c r="G44" s="20"/>
      <c r="H44" s="25"/>
      <c r="I44" s="25"/>
    </row>
    <row r="45" spans="1:9" s="19" customFormat="1" ht="126" x14ac:dyDescent="0.25">
      <c r="A45" s="20">
        <v>25</v>
      </c>
      <c r="B45" s="47" t="s">
        <v>77</v>
      </c>
      <c r="C45" s="21" t="s">
        <v>22</v>
      </c>
      <c r="D45" s="20" t="s">
        <v>78</v>
      </c>
      <c r="E45" s="44" t="s">
        <v>154</v>
      </c>
      <c r="F45" s="20"/>
      <c r="G45" s="20"/>
      <c r="H45" s="25"/>
      <c r="I45" s="25"/>
    </row>
    <row r="46" spans="1:9" s="19" customFormat="1" ht="23.25" customHeight="1" x14ac:dyDescent="0.25">
      <c r="A46" s="22"/>
      <c r="B46" s="46" t="s">
        <v>79</v>
      </c>
      <c r="C46" s="27"/>
      <c r="D46" s="28"/>
      <c r="E46" s="28"/>
      <c r="F46" s="28"/>
      <c r="G46" s="28"/>
      <c r="H46" s="28"/>
      <c r="I46" s="28"/>
    </row>
    <row r="47" spans="1:9" s="19" customFormat="1" ht="94.5" x14ac:dyDescent="0.25">
      <c r="A47" s="20">
        <v>26</v>
      </c>
      <c r="B47" s="47" t="s">
        <v>80</v>
      </c>
      <c r="C47" s="21" t="s">
        <v>22</v>
      </c>
      <c r="D47" s="20" t="s">
        <v>81</v>
      </c>
      <c r="E47" s="44" t="s">
        <v>154</v>
      </c>
      <c r="F47" s="20"/>
      <c r="G47" s="20"/>
      <c r="H47" s="25"/>
      <c r="I47" s="25"/>
    </row>
    <row r="48" spans="1:9" s="19" customFormat="1" ht="24.75" customHeight="1" x14ac:dyDescent="0.25">
      <c r="A48" s="22"/>
      <c r="B48" s="46" t="s">
        <v>82</v>
      </c>
      <c r="C48" s="27"/>
      <c r="D48" s="28"/>
      <c r="E48" s="28"/>
      <c r="F48" s="28"/>
      <c r="G48" s="28"/>
      <c r="H48" s="28"/>
      <c r="I48" s="28"/>
    </row>
    <row r="49" spans="1:9" s="19" customFormat="1" ht="63" x14ac:dyDescent="0.25">
      <c r="A49" s="20">
        <v>27</v>
      </c>
      <c r="B49" s="47" t="s">
        <v>83</v>
      </c>
      <c r="C49" s="21" t="s">
        <v>22</v>
      </c>
      <c r="D49" s="20" t="s">
        <v>84</v>
      </c>
      <c r="E49" s="44" t="s">
        <v>154</v>
      </c>
      <c r="F49" s="20"/>
      <c r="G49" s="20"/>
      <c r="H49" s="25"/>
      <c r="I49" s="25"/>
    </row>
    <row r="50" spans="1:9" s="19" customFormat="1" ht="31.5" x14ac:dyDescent="0.25">
      <c r="A50" s="20">
        <v>28</v>
      </c>
      <c r="B50" s="47" t="s">
        <v>85</v>
      </c>
      <c r="C50" s="21" t="s">
        <v>22</v>
      </c>
      <c r="D50" s="20" t="s">
        <v>86</v>
      </c>
      <c r="E50" s="44" t="s">
        <v>41</v>
      </c>
      <c r="F50" s="20"/>
      <c r="G50" s="20" t="s">
        <v>151</v>
      </c>
      <c r="H50" s="20"/>
      <c r="I50" s="25"/>
    </row>
    <row r="51" spans="1:9" s="19" customFormat="1" ht="126" x14ac:dyDescent="0.25">
      <c r="A51" s="20">
        <v>29</v>
      </c>
      <c r="B51" s="47" t="s">
        <v>87</v>
      </c>
      <c r="C51" s="21" t="s">
        <v>22</v>
      </c>
      <c r="D51" s="20" t="s">
        <v>88</v>
      </c>
      <c r="E51" s="44" t="s">
        <v>41</v>
      </c>
      <c r="I51" s="25"/>
    </row>
    <row r="52" spans="1:9" s="19" customFormat="1" ht="94.5" x14ac:dyDescent="0.25">
      <c r="A52" s="20">
        <v>30</v>
      </c>
      <c r="B52" s="47" t="s">
        <v>89</v>
      </c>
      <c r="C52" s="21" t="s">
        <v>22</v>
      </c>
      <c r="D52" s="20" t="s">
        <v>90</v>
      </c>
      <c r="E52" s="44" t="s">
        <v>41</v>
      </c>
      <c r="F52" s="20"/>
      <c r="G52" s="20"/>
      <c r="H52" s="25"/>
      <c r="I52" s="25"/>
    </row>
    <row r="53" spans="1:9" s="19" customFormat="1" ht="94.5" x14ac:dyDescent="0.25">
      <c r="A53" s="20">
        <v>31</v>
      </c>
      <c r="B53" s="47" t="s">
        <v>91</v>
      </c>
      <c r="C53" s="21" t="s">
        <v>32</v>
      </c>
      <c r="D53" s="20" t="s">
        <v>92</v>
      </c>
      <c r="E53" s="44" t="s">
        <v>41</v>
      </c>
      <c r="F53" s="20"/>
      <c r="G53" s="20"/>
      <c r="H53" s="25"/>
      <c r="I53" s="25"/>
    </row>
    <row r="54" spans="1:9" s="19" customFormat="1" ht="31.5" x14ac:dyDescent="0.25">
      <c r="A54" s="20">
        <v>32</v>
      </c>
      <c r="B54" s="47" t="s">
        <v>93</v>
      </c>
      <c r="C54" s="21" t="s">
        <v>32</v>
      </c>
      <c r="D54" s="20" t="s">
        <v>94</v>
      </c>
      <c r="E54" s="44" t="s">
        <v>41</v>
      </c>
      <c r="F54" s="20"/>
      <c r="G54" s="20"/>
      <c r="H54" s="25"/>
      <c r="I54" s="25"/>
    </row>
    <row r="55" spans="1:9" s="19" customFormat="1" ht="63" x14ac:dyDescent="0.25">
      <c r="A55" s="20">
        <v>33</v>
      </c>
      <c r="B55" s="47" t="s">
        <v>95</v>
      </c>
      <c r="C55" s="21" t="s">
        <v>32</v>
      </c>
      <c r="D55" s="20" t="s">
        <v>96</v>
      </c>
      <c r="E55" s="44" t="s">
        <v>41</v>
      </c>
      <c r="F55" s="20"/>
      <c r="G55" s="50"/>
      <c r="H55" s="25"/>
      <c r="I55" s="25"/>
    </row>
    <row r="56" spans="1:9" s="19" customFormat="1" ht="78.75" x14ac:dyDescent="0.25">
      <c r="A56" s="20">
        <v>34</v>
      </c>
      <c r="B56" s="47" t="s">
        <v>97</v>
      </c>
      <c r="C56" s="21" t="s">
        <v>32</v>
      </c>
      <c r="D56" s="20" t="s">
        <v>98</v>
      </c>
      <c r="E56" s="44" t="s">
        <v>154</v>
      </c>
      <c r="F56" s="20"/>
      <c r="G56" s="20"/>
      <c r="H56" s="25"/>
      <c r="I56" s="25"/>
    </row>
    <row r="57" spans="1:9" s="19" customFormat="1" ht="23.25" customHeight="1" x14ac:dyDescent="0.25">
      <c r="A57" s="22"/>
      <c r="B57" s="46" t="s">
        <v>99</v>
      </c>
      <c r="C57" s="27"/>
      <c r="D57" s="28"/>
      <c r="E57" s="28"/>
      <c r="F57" s="28"/>
      <c r="G57" s="28"/>
      <c r="H57" s="28"/>
      <c r="I57" s="28"/>
    </row>
    <row r="58" spans="1:9" s="19" customFormat="1" ht="110.25" x14ac:dyDescent="0.25">
      <c r="A58" s="20">
        <v>35</v>
      </c>
      <c r="B58" s="47" t="s">
        <v>100</v>
      </c>
      <c r="C58" s="21" t="s">
        <v>22</v>
      </c>
      <c r="D58" s="20" t="s">
        <v>101</v>
      </c>
      <c r="E58" s="44" t="s">
        <v>154</v>
      </c>
      <c r="F58" s="20"/>
      <c r="G58" s="20"/>
      <c r="H58" s="25"/>
      <c r="I58" s="25"/>
    </row>
    <row r="59" spans="1:9" s="19" customFormat="1" ht="220.5" x14ac:dyDescent="0.25">
      <c r="A59" s="20">
        <v>36</v>
      </c>
      <c r="B59" s="47" t="s">
        <v>102</v>
      </c>
      <c r="C59" s="21" t="s">
        <v>22</v>
      </c>
      <c r="D59" s="20" t="s">
        <v>103</v>
      </c>
      <c r="E59" s="44" t="s">
        <v>154</v>
      </c>
      <c r="F59" s="20"/>
      <c r="G59" s="20"/>
      <c r="H59" s="25"/>
      <c r="I59" s="25"/>
    </row>
    <row r="60" spans="1:9" s="19" customFormat="1" ht="78.75" x14ac:dyDescent="0.25">
      <c r="A60" s="20">
        <v>37</v>
      </c>
      <c r="B60" s="47" t="s">
        <v>104</v>
      </c>
      <c r="C60" s="21" t="s">
        <v>22</v>
      </c>
      <c r="D60" s="20" t="s">
        <v>105</v>
      </c>
      <c r="E60" s="44" t="s">
        <v>41</v>
      </c>
      <c r="F60" s="20"/>
      <c r="G60" s="20"/>
      <c r="H60" s="25"/>
      <c r="I60" s="25"/>
    </row>
    <row r="61" spans="1:9" s="19" customFormat="1" ht="110.25" x14ac:dyDescent="0.25">
      <c r="A61" s="20">
        <v>38</v>
      </c>
      <c r="B61" s="47" t="s">
        <v>106</v>
      </c>
      <c r="C61" s="21" t="s">
        <v>22</v>
      </c>
      <c r="D61" s="20" t="s">
        <v>147</v>
      </c>
      <c r="E61" s="44" t="s">
        <v>154</v>
      </c>
      <c r="F61" s="20"/>
      <c r="G61" s="20"/>
      <c r="H61" s="25"/>
      <c r="I61" s="25"/>
    </row>
    <row r="62" spans="1:9" s="19" customFormat="1" ht="141.75" x14ac:dyDescent="0.25">
      <c r="A62" s="20">
        <v>39</v>
      </c>
      <c r="B62" s="47" t="s">
        <v>107</v>
      </c>
      <c r="C62" s="21" t="s">
        <v>32</v>
      </c>
      <c r="D62" s="20" t="s">
        <v>108</v>
      </c>
      <c r="E62" s="44" t="s">
        <v>154</v>
      </c>
      <c r="F62" s="20"/>
      <c r="G62" s="20"/>
      <c r="H62" s="25"/>
      <c r="I62" s="25"/>
    </row>
    <row r="63" spans="1:9" s="19" customFormat="1" ht="47.25" x14ac:dyDescent="0.25">
      <c r="A63" s="25">
        <v>40</v>
      </c>
      <c r="B63" s="47" t="s">
        <v>109</v>
      </c>
      <c r="C63" s="21" t="s">
        <v>32</v>
      </c>
      <c r="D63" s="20" t="s">
        <v>110</v>
      </c>
      <c r="E63" s="44" t="s">
        <v>41</v>
      </c>
      <c r="F63" s="20"/>
      <c r="G63" s="20"/>
      <c r="H63" s="25"/>
      <c r="I63" s="25"/>
    </row>
    <row r="64" spans="1:9" s="19" customFormat="1" ht="23.25" customHeight="1" x14ac:dyDescent="0.25">
      <c r="A64" s="22"/>
      <c r="B64" s="46" t="s">
        <v>111</v>
      </c>
      <c r="C64" s="27"/>
      <c r="D64" s="27"/>
      <c r="E64" s="27"/>
      <c r="F64" s="28"/>
      <c r="G64" s="28"/>
      <c r="H64" s="28"/>
      <c r="I64" s="28"/>
    </row>
    <row r="65" spans="1:9" s="19" customFormat="1" ht="63" x14ac:dyDescent="0.25">
      <c r="A65" s="20">
        <v>41</v>
      </c>
      <c r="B65" s="47" t="s">
        <v>112</v>
      </c>
      <c r="C65" s="21" t="s">
        <v>22</v>
      </c>
      <c r="D65" s="20" t="s">
        <v>113</v>
      </c>
      <c r="E65" s="44" t="s">
        <v>41</v>
      </c>
      <c r="F65" s="20"/>
      <c r="G65" s="20"/>
      <c r="H65" s="25"/>
      <c r="I65" s="25"/>
    </row>
    <row r="66" spans="1:9" s="19" customFormat="1" ht="78.75" x14ac:dyDescent="0.25">
      <c r="A66" s="20">
        <v>42</v>
      </c>
      <c r="B66" s="47" t="s">
        <v>114</v>
      </c>
      <c r="C66" s="21" t="s">
        <v>32</v>
      </c>
      <c r="D66" s="20" t="s">
        <v>115</v>
      </c>
      <c r="E66" s="44" t="s">
        <v>156</v>
      </c>
      <c r="F66" s="20"/>
      <c r="G66" s="20"/>
      <c r="H66" s="25"/>
      <c r="I66" s="25"/>
    </row>
    <row r="67" spans="1:9" s="19" customFormat="1" ht="27" customHeight="1" x14ac:dyDescent="0.25">
      <c r="A67" s="22"/>
      <c r="B67" s="46" t="s">
        <v>116</v>
      </c>
      <c r="C67" s="27"/>
      <c r="D67" s="28"/>
      <c r="E67" s="28"/>
      <c r="F67" s="28"/>
      <c r="G67" s="28"/>
      <c r="H67" s="28"/>
      <c r="I67" s="28"/>
    </row>
    <row r="68" spans="1:9" s="19" customFormat="1" ht="63" x14ac:dyDescent="0.25">
      <c r="A68" s="20">
        <v>43</v>
      </c>
      <c r="B68" s="47" t="s">
        <v>117</v>
      </c>
      <c r="C68" s="21" t="s">
        <v>22</v>
      </c>
      <c r="D68" s="20" t="s">
        <v>118</v>
      </c>
      <c r="E68" s="44" t="s">
        <v>41</v>
      </c>
      <c r="F68" s="20"/>
      <c r="G68" s="20"/>
      <c r="H68" s="25"/>
      <c r="I68" s="25"/>
    </row>
    <row r="69" spans="1:9" s="19" customFormat="1" ht="110.25" x14ac:dyDescent="0.25">
      <c r="A69" s="20">
        <v>44</v>
      </c>
      <c r="B69" s="47" t="s">
        <v>119</v>
      </c>
      <c r="C69" s="21" t="s">
        <v>22</v>
      </c>
      <c r="D69" s="20" t="s">
        <v>120</v>
      </c>
      <c r="E69" s="44" t="s">
        <v>41</v>
      </c>
      <c r="F69" s="20"/>
      <c r="H69" s="20"/>
      <c r="I69" s="20"/>
    </row>
    <row r="70" spans="1:9" s="19" customFormat="1" ht="110.25" x14ac:dyDescent="0.25">
      <c r="A70" s="20">
        <v>45</v>
      </c>
      <c r="B70" s="47" t="s">
        <v>121</v>
      </c>
      <c r="C70" s="21" t="s">
        <v>32</v>
      </c>
      <c r="D70" s="20" t="s">
        <v>122</v>
      </c>
      <c r="E70" s="44" t="s">
        <v>41</v>
      </c>
      <c r="F70" s="20"/>
      <c r="G70" s="20"/>
      <c r="H70" s="25"/>
      <c r="I70" s="25"/>
    </row>
    <row r="71" spans="1:9" s="19" customFormat="1" ht="63" x14ac:dyDescent="0.25">
      <c r="A71" s="20">
        <v>46</v>
      </c>
      <c r="B71" s="47" t="s">
        <v>123</v>
      </c>
      <c r="C71" s="21" t="s">
        <v>32</v>
      </c>
      <c r="D71" s="20" t="s">
        <v>124</v>
      </c>
      <c r="E71" s="44" t="s">
        <v>41</v>
      </c>
      <c r="F71" s="20"/>
      <c r="G71" s="20"/>
      <c r="H71" s="25"/>
      <c r="I71" s="25"/>
    </row>
    <row r="72" spans="1:9" s="19" customFormat="1" ht="220.5" x14ac:dyDescent="0.25">
      <c r="A72" s="30">
        <v>47</v>
      </c>
      <c r="B72" s="47" t="s">
        <v>125</v>
      </c>
      <c r="C72" s="21" t="s">
        <v>22</v>
      </c>
      <c r="D72" s="20" t="s">
        <v>126</v>
      </c>
      <c r="E72" s="44" t="s">
        <v>154</v>
      </c>
      <c r="F72" s="20"/>
      <c r="G72" s="20"/>
      <c r="H72" s="25"/>
      <c r="I72" s="25"/>
    </row>
    <row r="73" spans="1:9" s="19" customFormat="1" ht="29.25" customHeight="1" x14ac:dyDescent="0.25">
      <c r="A73" s="31"/>
      <c r="B73" s="46" t="s">
        <v>127</v>
      </c>
      <c r="C73" s="32"/>
      <c r="D73" s="33"/>
      <c r="E73" s="33"/>
      <c r="F73" s="33"/>
      <c r="G73" s="33"/>
      <c r="H73" s="33"/>
      <c r="I73" s="33"/>
    </row>
    <row r="74" spans="1:9" s="19" customFormat="1" ht="78.75" x14ac:dyDescent="0.25">
      <c r="A74" s="20">
        <v>48</v>
      </c>
      <c r="B74" s="47" t="s">
        <v>128</v>
      </c>
      <c r="C74" s="21" t="s">
        <v>22</v>
      </c>
      <c r="D74" s="20" t="s">
        <v>129</v>
      </c>
      <c r="E74" s="44" t="s">
        <v>41</v>
      </c>
      <c r="F74" s="20"/>
      <c r="G74" s="20"/>
      <c r="H74" s="25"/>
      <c r="I74" s="25"/>
    </row>
    <row r="75" spans="1:9" s="19" customFormat="1" ht="47.25" x14ac:dyDescent="0.25">
      <c r="A75" s="20">
        <v>49</v>
      </c>
      <c r="B75" s="47" t="s">
        <v>130</v>
      </c>
      <c r="C75" s="21" t="s">
        <v>22</v>
      </c>
      <c r="D75" s="20" t="s">
        <v>131</v>
      </c>
      <c r="E75" s="44" t="s">
        <v>41</v>
      </c>
      <c r="G75" s="20"/>
      <c r="H75" s="25"/>
      <c r="I75" s="25"/>
    </row>
    <row r="76" spans="1:9" s="19" customFormat="1" ht="126" x14ac:dyDescent="0.25">
      <c r="A76" s="20">
        <v>50</v>
      </c>
      <c r="B76" s="47" t="s">
        <v>132</v>
      </c>
      <c r="C76" s="21" t="s">
        <v>32</v>
      </c>
      <c r="D76" s="20" t="s">
        <v>133</v>
      </c>
      <c r="E76" s="44" t="s">
        <v>41</v>
      </c>
      <c r="F76" s="20"/>
      <c r="G76" s="20"/>
      <c r="H76" s="25"/>
      <c r="I76" s="25"/>
    </row>
    <row r="77" spans="1:9" s="19" customFormat="1" ht="173.25" x14ac:dyDescent="0.25">
      <c r="A77" s="20">
        <v>51</v>
      </c>
      <c r="B77" s="47" t="s">
        <v>134</v>
      </c>
      <c r="C77" s="21" t="s">
        <v>32</v>
      </c>
      <c r="D77" s="20" t="s">
        <v>135</v>
      </c>
      <c r="E77" s="44" t="s">
        <v>154</v>
      </c>
      <c r="F77" s="20"/>
      <c r="G77" s="20"/>
      <c r="H77" s="25"/>
      <c r="I77" s="25"/>
    </row>
    <row r="78" spans="1:9" s="19" customFormat="1" ht="126" x14ac:dyDescent="0.25">
      <c r="A78" s="34">
        <v>52</v>
      </c>
      <c r="B78" s="47" t="s">
        <v>136</v>
      </c>
      <c r="C78" s="35" t="s">
        <v>22</v>
      </c>
      <c r="D78" s="36" t="s">
        <v>137</v>
      </c>
      <c r="E78" s="44" t="s">
        <v>154</v>
      </c>
      <c r="F78" s="36"/>
      <c r="G78" s="36"/>
      <c r="H78" s="36"/>
      <c r="I78" s="36"/>
    </row>
    <row r="79" spans="1:9" s="19" customFormat="1" ht="346.5" x14ac:dyDescent="0.25">
      <c r="A79" s="34">
        <v>53</v>
      </c>
      <c r="B79" s="47" t="s">
        <v>138</v>
      </c>
      <c r="C79" s="35" t="s">
        <v>32</v>
      </c>
      <c r="D79" s="36" t="s">
        <v>139</v>
      </c>
      <c r="E79" s="44" t="s">
        <v>154</v>
      </c>
      <c r="F79" s="36"/>
      <c r="G79" s="36"/>
      <c r="H79" s="36"/>
      <c r="I79" s="36"/>
    </row>
    <row r="80" spans="1:9" s="19" customFormat="1" ht="25.5" customHeight="1" x14ac:dyDescent="0.25">
      <c r="A80" s="37"/>
      <c r="B80" s="46" t="s">
        <v>140</v>
      </c>
      <c r="C80" s="38"/>
      <c r="D80" s="39"/>
      <c r="E80" s="39"/>
      <c r="F80" s="39"/>
      <c r="G80" s="39"/>
      <c r="H80" s="39"/>
      <c r="I80" s="39"/>
    </row>
    <row r="81" spans="1:9" s="19" customFormat="1" ht="15" customHeight="1" x14ac:dyDescent="0.25">
      <c r="A81" s="20">
        <v>54</v>
      </c>
      <c r="B81" s="47" t="s">
        <v>141</v>
      </c>
      <c r="C81" s="21" t="s">
        <v>22</v>
      </c>
      <c r="D81" s="20" t="s">
        <v>142</v>
      </c>
      <c r="E81" s="44" t="s">
        <v>41</v>
      </c>
      <c r="F81" s="20"/>
      <c r="G81" s="20"/>
      <c r="H81" s="25"/>
      <c r="I81" s="25"/>
    </row>
    <row r="82" spans="1:9" s="19" customFormat="1" ht="236.25" x14ac:dyDescent="0.25">
      <c r="A82" s="20">
        <v>55</v>
      </c>
      <c r="B82" s="47" t="s">
        <v>143</v>
      </c>
      <c r="C82" s="40" t="s">
        <v>22</v>
      </c>
      <c r="D82" s="41" t="s">
        <v>144</v>
      </c>
      <c r="E82" s="44" t="s">
        <v>41</v>
      </c>
      <c r="F82" s="20"/>
      <c r="G82" s="20"/>
      <c r="H82" s="25"/>
      <c r="I82" s="25"/>
    </row>
    <row r="83" spans="1:9" s="19" customFormat="1" ht="141.75" x14ac:dyDescent="0.25">
      <c r="A83" s="20">
        <v>56</v>
      </c>
      <c r="B83" s="47" t="s">
        <v>145</v>
      </c>
      <c r="C83" s="21" t="s">
        <v>32</v>
      </c>
      <c r="D83" s="20" t="s">
        <v>146</v>
      </c>
      <c r="E83" s="44" t="s">
        <v>41</v>
      </c>
      <c r="F83" s="20"/>
      <c r="G83" s="20"/>
      <c r="H83" s="25"/>
      <c r="I83" s="25"/>
    </row>
    <row r="84" spans="1:9" s="19" customFormat="1" x14ac:dyDescent="0.25">
      <c r="C84" s="42"/>
    </row>
    <row r="85" spans="1:9" s="19" customFormat="1" x14ac:dyDescent="0.25">
      <c r="C85" s="42"/>
    </row>
    <row r="86" spans="1:9" s="19" customFormat="1" x14ac:dyDescent="0.25">
      <c r="C86" s="42"/>
    </row>
    <row r="87" spans="1:9" ht="15" x14ac:dyDescent="0.25">
      <c r="I87" s="12"/>
    </row>
  </sheetData>
  <autoFilter ref="A14:H83" xr:uid="{8540A3EF-F706-48E4-8F06-6C809BA6F5ED}"/>
  <mergeCells count="12">
    <mergeCell ref="A8:B8"/>
    <mergeCell ref="A9:B9"/>
    <mergeCell ref="A10:B10"/>
    <mergeCell ref="A11:B11"/>
    <mergeCell ref="A12:B12"/>
    <mergeCell ref="C12:H12"/>
    <mergeCell ref="A2:B2"/>
    <mergeCell ref="A3:B3"/>
    <mergeCell ref="A4:B4"/>
    <mergeCell ref="A5:B5"/>
    <mergeCell ref="A6:B6"/>
    <mergeCell ref="A7:B7"/>
  </mergeCells>
  <conditionalFormatting sqref="E1:E10">
    <cfRule type="expression" dxfId="293" priority="11">
      <formula>E1="Not Applicable"</formula>
    </cfRule>
    <cfRule type="expression" dxfId="292" priority="12">
      <formula>E1="Fail"</formula>
    </cfRule>
    <cfRule type="expression" dxfId="291" priority="13">
      <formula>E1="Pass"</formula>
    </cfRule>
  </conditionalFormatting>
  <conditionalFormatting sqref="E13:E1048576">
    <cfRule type="expression" dxfId="290" priority="7">
      <formula>E13="Not Applicable"</formula>
    </cfRule>
    <cfRule type="expression" dxfId="289" priority="8">
      <formula>E13="Fail"</formula>
    </cfRule>
    <cfRule type="expression" dxfId="288" priority="9">
      <formula>E13="Pass"</formula>
    </cfRule>
  </conditionalFormatting>
  <conditionalFormatting sqref="F1:G2 G3 F4:G10 F41:I50 F52:H68 I52:I87 F70:H73 F75:H1048576">
    <cfRule type="expression" dxfId="287" priority="10">
      <formula>AND($E1="Fail", COUNTA($F1:$H1)&gt;0)</formula>
    </cfRule>
  </conditionalFormatting>
  <conditionalFormatting sqref="F13:H23 F29:H34">
    <cfRule type="expression" dxfId="286" priority="5">
      <formula>AND($E13="Fail", COUNTA($F13:$H13)&gt;0)</formula>
    </cfRule>
  </conditionalFormatting>
  <conditionalFormatting sqref="F35:I39">
    <cfRule type="expression" dxfId="285" priority="6">
      <formula>AND($E35="Fail", COUNTA($F35:$H35)&gt;0)</formula>
    </cfRule>
  </conditionalFormatting>
  <conditionalFormatting sqref="F40:I40">
    <cfRule type="expression" dxfId="284" priority="16">
      <formula>AND($E40="Fail", COUNTA(#REF!)&gt;0)</formula>
    </cfRule>
  </conditionalFormatting>
  <conditionalFormatting sqref="H1:H11 I14:I34 F69 H69">
    <cfRule type="expression" dxfId="283" priority="14">
      <formula>AND($E1="Fail", COUNTA($F1:$H1)&gt;0)</formula>
    </cfRule>
  </conditionalFormatting>
  <conditionalFormatting sqref="I51">
    <cfRule type="expression" dxfId="282" priority="15">
      <formula>AND($E51="Fail", COUNTA($F40:$H40)&gt;0)</formula>
    </cfRule>
  </conditionalFormatting>
  <conditionalFormatting sqref="F74:H74">
    <cfRule type="expression" dxfId="281" priority="4">
      <formula>AND($E74="Fail", COUNTA($F74:$H74)&gt;0)</formula>
    </cfRule>
  </conditionalFormatting>
  <conditionalFormatting sqref="F25:H27">
    <cfRule type="expression" dxfId="280" priority="3">
      <formula>AND($E25="Fail", COUNTA($F25:$H25)&gt;0)</formula>
    </cfRule>
  </conditionalFormatting>
  <conditionalFormatting sqref="F24:H24">
    <cfRule type="expression" dxfId="279" priority="2">
      <formula>AND($E24="Fail", COUNTA($F24:$H24)&gt;0)</formula>
    </cfRule>
  </conditionalFormatting>
  <conditionalFormatting sqref="F28:H28">
    <cfRule type="expression" dxfId="278" priority="1">
      <formula>AND($E28="Fail", COUNTA($F28:$H28)&gt;0)</formula>
    </cfRule>
  </conditionalFormatting>
  <hyperlinks>
    <hyperlink ref="B16" r:id="rId1" location="non-text-content" xr:uid="{AE4C01A0-10E2-4FEB-B947-8145DDDBF6B3}"/>
    <hyperlink ref="B24" r:id="rId2" location="info-and-relationships" xr:uid="{9A61AE34-E3AF-4B6E-8359-4980A635CA2A}"/>
    <hyperlink ref="B18" r:id="rId3" location="audio-only-and-video-only-prerecorded" xr:uid="{0E17FCF3-78EC-4849-9991-75E3A6FBC594}"/>
    <hyperlink ref="B19" r:id="rId4" location="captions-prerecorded" xr:uid="{77E0270F-C430-4AA1-B128-2F0C87FF1EF0}"/>
    <hyperlink ref="B20" r:id="rId5" location="audio-description-or-media-alternative-prerecorded" xr:uid="{DC5C2E06-7454-4BC9-BBF0-59918DF65693}"/>
    <hyperlink ref="B21" r:id="rId6" location="captions-live" xr:uid="{2B12496A-079B-42B0-9919-52ADC4E45B76}"/>
    <hyperlink ref="B22" r:id="rId7" location="audio-description-prerecorded" xr:uid="{92D3A1C1-D97D-4269-B65B-EA36B2D14DDF}"/>
    <hyperlink ref="B25" r:id="rId8" location="meaningful-sequence" xr:uid="{AAC23ADC-2496-4874-949F-EB0673DF169F}"/>
    <hyperlink ref="B26" r:id="rId9" location="sensory-characteristics" xr:uid="{40954ABD-4595-4191-9403-6B108587064D}"/>
    <hyperlink ref="B27" r:id="rId10" location="orientation" xr:uid="{0A922B06-51C1-4F83-9B30-D3ACBF56300A}"/>
    <hyperlink ref="B28" r:id="rId11" location="identify-input-purpose" xr:uid="{D8FF9700-570C-48E4-B3E3-24DF074020AF}"/>
    <hyperlink ref="B30" r:id="rId12" location="use-of-color" xr:uid="{C762866A-7696-46B0-9CF4-E89CBB579246}"/>
    <hyperlink ref="B31" r:id="rId13" location="audio-control" xr:uid="{F1B6C12B-A48D-49F8-A791-0DB6799AC03F}"/>
    <hyperlink ref="B32" r:id="rId14" location="contrast-minimum" xr:uid="{E77BC404-4684-46FB-81F3-85F4C9BC9F7E}"/>
    <hyperlink ref="B33" r:id="rId15" location="resize-text" xr:uid="{287DDDC0-4DB9-42B6-A76E-F2E084745CF5}"/>
    <hyperlink ref="B34" r:id="rId16" location="images-of-text" xr:uid="{44C543E7-5E34-4381-994E-5B77427FB467}"/>
    <hyperlink ref="B35" r:id="rId17" location="reflow" xr:uid="{9178EAA5-6901-4FA9-AC50-CFF2F530164D}"/>
    <hyperlink ref="B36" r:id="rId18" location="non-text-contrast" xr:uid="{96F35233-4D49-4E1E-921C-4CEC3655F0BB}"/>
    <hyperlink ref="B37" r:id="rId19" location="text-spacing" xr:uid="{15D1CD22-6A36-4511-800E-BF8C3614C96F}"/>
    <hyperlink ref="B38" r:id="rId20" location="content-on-hover-or-focus" xr:uid="{01EF3DD9-DEC1-4BB6-A60D-B74FD2433FD1}"/>
    <hyperlink ref="B40" r:id="rId21" location="keyboard" xr:uid="{C8A75736-47BE-4E3C-9CD2-D59889ED1126}"/>
    <hyperlink ref="B41" r:id="rId22" location="no-keyboard-trap" xr:uid="{F1126CD7-F693-48FD-B58C-EF775D721C70}"/>
    <hyperlink ref="B43" r:id="rId23" location="character-key-shortcuts" xr:uid="{3176E203-45E2-4056-97CB-780664314C8C}"/>
    <hyperlink ref="B44" r:id="rId24" location="timing-adjustable" xr:uid="{231356DD-C38A-4135-A34D-6838D8AF4EE1}"/>
    <hyperlink ref="B45" r:id="rId25" location="pause-stop-hide" xr:uid="{8B3E9AB4-18C7-420D-80A7-90D1A7A66E35}"/>
    <hyperlink ref="B47" r:id="rId26" location="three-flashes-or-below-threshold" xr:uid="{8C3FDF3C-4EEC-459A-B6A1-37973B16B296}"/>
    <hyperlink ref="B49" r:id="rId27" location="bypass-blocks" xr:uid="{AB8443A5-694C-4176-81B3-FD3CCA89C85C}"/>
    <hyperlink ref="B50" r:id="rId28" location="page-titled" xr:uid="{8BEBE4CC-D8CF-482B-BB89-01E1530483C5}"/>
    <hyperlink ref="B51" r:id="rId29" location="focus-order" xr:uid="{19BAF7A5-1FA8-4386-9320-537E60691D2E}"/>
    <hyperlink ref="B52" r:id="rId30" location="link-purpose-in-context" xr:uid="{8963CBA6-D210-4EA0-9265-DF23F38FDAEE}"/>
    <hyperlink ref="B53" r:id="rId31" location="multiple-ways" xr:uid="{12AE783B-3696-49D6-8946-3F6F22B6C403}"/>
    <hyperlink ref="B54" r:id="rId32" location="headings-and-labels" xr:uid="{2BFB378C-4901-4246-8768-1324DA060DD0}"/>
    <hyperlink ref="B55" r:id="rId33" location="focus-visible" xr:uid="{6F64D5F8-DE7C-45FD-ABA1-E180B7C2B7F1}"/>
    <hyperlink ref="B56" r:id="rId34" location="focus-not-obscured-minimum" xr:uid="{AA508ACF-9111-43AE-85C9-693056B5CC8B}"/>
    <hyperlink ref="B58" r:id="rId35" location="pointer-gestures" xr:uid="{FF3DE794-C168-46D4-9C3D-B9FDF68971F1}"/>
    <hyperlink ref="B59" r:id="rId36" location="pointer-cancellation" xr:uid="{6D8F7C88-0CCF-41F6-90A2-0E2446250CAF}"/>
    <hyperlink ref="B60" r:id="rId37" location="label-in-name" xr:uid="{7FBA5ACC-6ED4-41A5-9F32-E744DA85A540}"/>
    <hyperlink ref="B61" r:id="rId38" location="motion-actuation" xr:uid="{DC995B48-7A9B-47DF-9DEB-7F4DDB29674F}"/>
    <hyperlink ref="B62" r:id="rId39" location="dragging-movements" xr:uid="{91B22185-4BAA-414B-8D42-F76CFD9B7804}"/>
    <hyperlink ref="B63" r:id="rId40" location="target-size-minimum" xr:uid="{33B7AE91-D62F-4423-B543-624B5842671C}"/>
    <hyperlink ref="B65" r:id="rId41" location="language-of-page" xr:uid="{BF172B6E-BDE3-461E-B9B4-C31034DF70AF}"/>
    <hyperlink ref="B66" r:id="rId42" location="language-of-parts" xr:uid="{48468258-5959-4E87-BE9A-C160F5E138C2}"/>
    <hyperlink ref="B68" r:id="rId43" location="on-focus" xr:uid="{1E7CC997-7C75-4870-8301-BC38FC26D7D3}"/>
    <hyperlink ref="B69" r:id="rId44" location="on-input" xr:uid="{08EC9679-9502-4422-8BB1-1272368FB3B9}"/>
    <hyperlink ref="B70" r:id="rId45" location="consistent-navigation" xr:uid="{78AD1CCB-54F2-42EB-BF72-BA6E9704539F}"/>
    <hyperlink ref="B71" r:id="rId46" location="consistent-identification" xr:uid="{D7047F06-5802-4670-9C79-8B080109F7D8}"/>
    <hyperlink ref="B72" r:id="rId47" location="consistent-help" xr:uid="{AFDBE221-604D-4322-9E47-F125F65697CF}"/>
    <hyperlink ref="B74" r:id="rId48" location="error-identification" xr:uid="{E6B9BD14-51E4-4FFC-BD2D-8D84138AF65C}"/>
    <hyperlink ref="B75" r:id="rId49" location="labels-or-instructions" xr:uid="{006C32B6-4341-4239-BAEC-B867934F9D52}"/>
    <hyperlink ref="B76" r:id="rId50" location="error-suggestion" xr:uid="{04B4DA8D-956D-42B7-A7FD-15F629344C7F}"/>
    <hyperlink ref="B77" r:id="rId51" location="error-prevention-legal-financial-data" xr:uid="{7D547746-CA29-4F25-918E-CE555D75603E}"/>
    <hyperlink ref="B78" r:id="rId52" location="redundant-entry" xr:uid="{81931B12-72E7-4240-B5C8-78ACBB9B7E4F}"/>
    <hyperlink ref="B79" r:id="rId53" location="accessible-authentication-minimum" xr:uid="{A7FBA1B7-C5E1-4D67-B53D-3F330FA15FFF}"/>
    <hyperlink ref="B81" r:id="rId54" location="parsing" xr:uid="{43FBA4D9-2AAE-419F-A650-BDA3A3C8633D}"/>
    <hyperlink ref="B82" r:id="rId55" location="name-role-value" xr:uid="{62C4DC5E-A685-44A7-86EE-F882AA219129}"/>
    <hyperlink ref="B83" r:id="rId56" location="status-messages" xr:uid="{4EAD7DC1-A714-4A09-BE31-47742AF5FA74}"/>
    <hyperlink ref="E11" r:id="rId57" xr:uid="{A3E3148C-B015-4CD9-ADB0-66C93F898C4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Header and Footer</vt:lpstr>
      <vt:lpstr>HomePage</vt:lpstr>
      <vt:lpstr>Contact US</vt:lpstr>
      <vt:lpstr>Useful Links</vt:lpstr>
      <vt:lpstr>Download</vt:lpstr>
      <vt:lpstr>Login Page</vt:lpstr>
      <vt:lpstr>Backoffice login page</vt:lpstr>
      <vt:lpstr>Backoffice HomePage</vt:lpstr>
      <vt:lpstr>KYC</vt:lpstr>
      <vt:lpstr>REKYC</vt:lpstr>
      <vt:lpstr>Login Page Android</vt:lpstr>
      <vt:lpstr>HomePage Android</vt:lpstr>
      <vt:lpstr>Market Page Android</vt:lpstr>
      <vt:lpstr>Nifty50 Page Android</vt:lpstr>
      <vt:lpstr>Stocks Info page Android</vt:lpstr>
      <vt:lpstr>Add fund page Android</vt:lpstr>
      <vt:lpstr>Login Page IOS</vt:lpstr>
      <vt:lpstr>HomePage IOS</vt:lpstr>
      <vt:lpstr>Market Page</vt:lpstr>
      <vt:lpstr>Nifty50 Page</vt:lpstr>
      <vt:lpstr>Stocks Info page</vt:lpstr>
      <vt:lpstr>Add fund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Shlok Sompura</dc:creator>
  <cp:lastModifiedBy>Shlok Sompura</cp:lastModifiedBy>
  <dcterms:created xsi:type="dcterms:W3CDTF">2024-06-11T03:41:02Z</dcterms:created>
  <dcterms:modified xsi:type="dcterms:W3CDTF">2026-04-15T10:00:03Z</dcterms:modified>
</cp:coreProperties>
</file>